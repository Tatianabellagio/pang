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d.m"/>
    <numFmt numFmtId="166" formatCode="dd.mm"/>
    <numFmt numFmtId="167" formatCode="m.yyyy"/>
  </numFmts>
  <fonts count="6">
    <font>
      <sz val="10.0"/>
      <color rgb="FF000000"/>
      <name val="Arial"/>
      <scheme val="minor"/>
    </font>
    <font>
      <b/>
      <color rgb="FF35434C"/>
      <name val="&quot;Source Code Pro&quot;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2" fontId="2" numFmtId="0" xfId="0" applyFont="1"/>
    <xf borderId="0" fillId="0" fontId="3" numFmtId="0" xfId="0" applyFont="1"/>
    <xf borderId="0" fillId="0" fontId="3" numFmtId="0" xfId="0" applyAlignment="1" applyFont="1">
      <alignment shrinkToFit="0" wrapText="0"/>
    </xf>
    <xf borderId="0" fillId="0" fontId="4" numFmtId="0" xfId="0" applyFont="1"/>
    <xf borderId="0" fillId="0" fontId="3" numFmtId="49" xfId="0" applyFont="1" applyNumberFormat="1"/>
    <xf borderId="0" fillId="0" fontId="3" numFmtId="49" xfId="0" applyAlignment="1" applyFont="1" applyNumberFormat="1">
      <alignment shrinkToFit="0" wrapText="0"/>
    </xf>
    <xf borderId="0" fillId="0" fontId="5" numFmtId="49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3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nature.com/articles/s41467-023-42029-4" TargetMode="External"/><Relationship Id="rId194" Type="http://schemas.openxmlformats.org/officeDocument/2006/relationships/hyperlink" Target="https://www.nature.com/articles/s41467-023-42029-4" TargetMode="External"/><Relationship Id="rId193" Type="http://schemas.openxmlformats.org/officeDocument/2006/relationships/hyperlink" Target="https://doi.org/10.1038/s41467-023-42029-4" TargetMode="External"/><Relationship Id="rId192" Type="http://schemas.openxmlformats.org/officeDocument/2006/relationships/hyperlink" Target="https://www.nature.com/articles/s41467-023-42029-4" TargetMode="External"/><Relationship Id="rId191" Type="http://schemas.openxmlformats.org/officeDocument/2006/relationships/hyperlink" Target="https://doi.org/10.1038/s41467-023-42029-4" TargetMode="External"/><Relationship Id="rId187" Type="http://schemas.openxmlformats.org/officeDocument/2006/relationships/hyperlink" Target="https://doi.org/10.1016/j.cell.2023.05.023" TargetMode="External"/><Relationship Id="rId186" Type="http://schemas.openxmlformats.org/officeDocument/2006/relationships/hyperlink" Target="https://www.nature.com/articles/s41586-023-06062-z" TargetMode="External"/><Relationship Id="rId185" Type="http://schemas.openxmlformats.org/officeDocument/2006/relationships/hyperlink" Target="https://doi.org/10.1038/s41586-023-06062-z" TargetMode="External"/><Relationship Id="rId184" Type="http://schemas.openxmlformats.org/officeDocument/2006/relationships/hyperlink" Target="https://www.nature.com/articles/s41586-023-06062-z" TargetMode="External"/><Relationship Id="rId189" Type="http://schemas.openxmlformats.org/officeDocument/2006/relationships/hyperlink" Target="https://doi.org/10.1038/s41467-023-42029-4" TargetMode="External"/><Relationship Id="rId188" Type="http://schemas.openxmlformats.org/officeDocument/2006/relationships/hyperlink" Target="https://www.sciencedirect.com/science/article/pii/S0092867423005421?via%3Dihub" TargetMode="External"/><Relationship Id="rId183" Type="http://schemas.openxmlformats.org/officeDocument/2006/relationships/hyperlink" Target="https://doi.org/10.1038/s41586-023-06062-z" TargetMode="External"/><Relationship Id="rId182" Type="http://schemas.openxmlformats.org/officeDocument/2006/relationships/hyperlink" Target="https://www.nature.com/articles/s41586-023-06062-z" TargetMode="External"/><Relationship Id="rId181" Type="http://schemas.openxmlformats.org/officeDocument/2006/relationships/hyperlink" Target="https://doi.org/10.1038/s41586-023-06062-z" TargetMode="External"/><Relationship Id="rId180" Type="http://schemas.openxmlformats.org/officeDocument/2006/relationships/hyperlink" Target="https://www.nature.com/articles/s41586-023-06062-z" TargetMode="External"/><Relationship Id="rId176" Type="http://schemas.openxmlformats.org/officeDocument/2006/relationships/hyperlink" Target="https://www.nature.com/articles/s41586-023-06062-z" TargetMode="External"/><Relationship Id="rId297" Type="http://schemas.openxmlformats.org/officeDocument/2006/relationships/hyperlink" Target="https://doi.org/10.1038/s41588-024-01715-9" TargetMode="External"/><Relationship Id="rId175" Type="http://schemas.openxmlformats.org/officeDocument/2006/relationships/hyperlink" Target="https://doi.org/10.1038/s41586-023-06062-z" TargetMode="External"/><Relationship Id="rId296" Type="http://schemas.openxmlformats.org/officeDocument/2006/relationships/hyperlink" Target="https://www.nature.com/articles/s41588-024-01715-9" TargetMode="External"/><Relationship Id="rId174" Type="http://schemas.openxmlformats.org/officeDocument/2006/relationships/hyperlink" Target="https://www.nature.com/articles/s41586-023-06062-z" TargetMode="External"/><Relationship Id="rId295" Type="http://schemas.openxmlformats.org/officeDocument/2006/relationships/hyperlink" Target="https://doi.org/10.1038/s41588-024-01715-9" TargetMode="External"/><Relationship Id="rId173" Type="http://schemas.openxmlformats.org/officeDocument/2006/relationships/hyperlink" Target="https://doi.org/10.1038/s41586-023-06062-z" TargetMode="External"/><Relationship Id="rId294" Type="http://schemas.openxmlformats.org/officeDocument/2006/relationships/hyperlink" Target="https://www.nature.com/articles/s41588-024-01715-9" TargetMode="External"/><Relationship Id="rId179" Type="http://schemas.openxmlformats.org/officeDocument/2006/relationships/hyperlink" Target="https://doi.org/10.1038/s41586-023-06062-z" TargetMode="External"/><Relationship Id="rId178" Type="http://schemas.openxmlformats.org/officeDocument/2006/relationships/hyperlink" Target="https://www.nature.com/articles/s41586-023-06062-z" TargetMode="External"/><Relationship Id="rId299" Type="http://schemas.openxmlformats.org/officeDocument/2006/relationships/hyperlink" Target="https://doi.org/10.1038/s41588-024-01715-9" TargetMode="External"/><Relationship Id="rId177" Type="http://schemas.openxmlformats.org/officeDocument/2006/relationships/hyperlink" Target="https://doi.org/10.1038/s41586-023-06062-z" TargetMode="External"/><Relationship Id="rId298" Type="http://schemas.openxmlformats.org/officeDocument/2006/relationships/hyperlink" Target="https://www.nature.com/articles/s41588-024-01715-9" TargetMode="External"/><Relationship Id="rId198" Type="http://schemas.openxmlformats.org/officeDocument/2006/relationships/hyperlink" Target="https://www.nature.com/articles/s41467-023-42029-4" TargetMode="External"/><Relationship Id="rId197" Type="http://schemas.openxmlformats.org/officeDocument/2006/relationships/hyperlink" Target="https://doi.org/10.1038/s41467-023-42029-4" TargetMode="External"/><Relationship Id="rId196" Type="http://schemas.openxmlformats.org/officeDocument/2006/relationships/hyperlink" Target="https://www.nature.com/articles/s41467-023-42029-4" TargetMode="External"/><Relationship Id="rId195" Type="http://schemas.openxmlformats.org/officeDocument/2006/relationships/hyperlink" Target="https://doi.org/10.1038/s41467-023-42029-4" TargetMode="External"/><Relationship Id="rId199" Type="http://schemas.openxmlformats.org/officeDocument/2006/relationships/hyperlink" Target="https://doi.org/10.1038/s41467-023-42029-4" TargetMode="External"/><Relationship Id="rId150" Type="http://schemas.openxmlformats.org/officeDocument/2006/relationships/hyperlink" Target="https://www.nature.com/articles/s41586-023-06062-z" TargetMode="External"/><Relationship Id="rId271" Type="http://schemas.openxmlformats.org/officeDocument/2006/relationships/hyperlink" Target="https://doi.org/10.1038/s41588-024-01715-9" TargetMode="External"/><Relationship Id="rId392" Type="http://schemas.openxmlformats.org/officeDocument/2006/relationships/hyperlink" Target="https://www.nature.com/articles/s41588-024-01715-9" TargetMode="External"/><Relationship Id="rId270" Type="http://schemas.openxmlformats.org/officeDocument/2006/relationships/hyperlink" Target="https://www.nature.com/articles/s41588-024-01715-9" TargetMode="External"/><Relationship Id="rId391" Type="http://schemas.openxmlformats.org/officeDocument/2006/relationships/hyperlink" Target="https://doi.org/10.1038/s41588-024-01715-9" TargetMode="External"/><Relationship Id="rId390" Type="http://schemas.openxmlformats.org/officeDocument/2006/relationships/hyperlink" Target="https://www.nature.com/articles/s41588-024-01715-9" TargetMode="External"/><Relationship Id="rId1" Type="http://schemas.openxmlformats.org/officeDocument/2006/relationships/hyperlink" Target="https://doi.org/10.1038/nbt.3238" TargetMode="External"/><Relationship Id="rId2" Type="http://schemas.openxmlformats.org/officeDocument/2006/relationships/hyperlink" Target="https://www.nature.com/articles/nbt.3238" TargetMode="External"/><Relationship Id="rId3" Type="http://schemas.openxmlformats.org/officeDocument/2006/relationships/hyperlink" Target="https://doi.org/10.1038/nmeth.4035" TargetMode="External"/><Relationship Id="rId149" Type="http://schemas.openxmlformats.org/officeDocument/2006/relationships/hyperlink" Target="https://doi.org/10.1038/s41586-023-06062-z" TargetMode="External"/><Relationship Id="rId4" Type="http://schemas.openxmlformats.org/officeDocument/2006/relationships/hyperlink" Target="https://www.nature.com/articles/nmeth.4035" TargetMode="External"/><Relationship Id="rId148" Type="http://schemas.openxmlformats.org/officeDocument/2006/relationships/hyperlink" Target="https://www.nature.com/articles/s41586-023-06062-z" TargetMode="External"/><Relationship Id="rId269" Type="http://schemas.openxmlformats.org/officeDocument/2006/relationships/hyperlink" Target="https://doi.org/10.1038/s41588-024-01715-9" TargetMode="External"/><Relationship Id="rId9" Type="http://schemas.openxmlformats.org/officeDocument/2006/relationships/hyperlink" Target="https://doi.org/10.1038/s41467-018-03016-2" TargetMode="External"/><Relationship Id="rId143" Type="http://schemas.openxmlformats.org/officeDocument/2006/relationships/hyperlink" Target="https://doi.org/10.1038/s41586-023-06062-z" TargetMode="External"/><Relationship Id="rId264" Type="http://schemas.openxmlformats.org/officeDocument/2006/relationships/hyperlink" Target="https://www.nature.com/articles/s41588-024-01715-9" TargetMode="External"/><Relationship Id="rId385" Type="http://schemas.openxmlformats.org/officeDocument/2006/relationships/hyperlink" Target="https://doi.org/10.1038/s41588-024-01715-9" TargetMode="External"/><Relationship Id="rId142" Type="http://schemas.openxmlformats.org/officeDocument/2006/relationships/hyperlink" Target="https://www.nature.com/articles/s41586-023-06062-z" TargetMode="External"/><Relationship Id="rId263" Type="http://schemas.openxmlformats.org/officeDocument/2006/relationships/hyperlink" Target="https://doi.org/10.1038/s41588-024-01715-9" TargetMode="External"/><Relationship Id="rId384" Type="http://schemas.openxmlformats.org/officeDocument/2006/relationships/hyperlink" Target="https://www.nature.com/articles/s41588-024-01715-9" TargetMode="External"/><Relationship Id="rId141" Type="http://schemas.openxmlformats.org/officeDocument/2006/relationships/hyperlink" Target="https://doi.org/10.1038/s41586-023-06062-z" TargetMode="External"/><Relationship Id="rId262" Type="http://schemas.openxmlformats.org/officeDocument/2006/relationships/hyperlink" Target="https://www.nature.com/articles/s41588-024-01715-9" TargetMode="External"/><Relationship Id="rId383" Type="http://schemas.openxmlformats.org/officeDocument/2006/relationships/hyperlink" Target="https://doi.org/10.1038/s41588-024-01715-9" TargetMode="External"/><Relationship Id="rId140" Type="http://schemas.openxmlformats.org/officeDocument/2006/relationships/hyperlink" Target="https://www.nature.com/articles/s41586-023-06062-z" TargetMode="External"/><Relationship Id="rId261" Type="http://schemas.openxmlformats.org/officeDocument/2006/relationships/hyperlink" Target="https://doi.org/10.1038/s41588-024-01715-9" TargetMode="External"/><Relationship Id="rId382" Type="http://schemas.openxmlformats.org/officeDocument/2006/relationships/hyperlink" Target="https://www.nature.com/articles/s41588-024-01715-9" TargetMode="External"/><Relationship Id="rId5" Type="http://schemas.openxmlformats.org/officeDocument/2006/relationships/hyperlink" Target="https://doi.org/10.1073/pnas.1607532113" TargetMode="External"/><Relationship Id="rId147" Type="http://schemas.openxmlformats.org/officeDocument/2006/relationships/hyperlink" Target="https://doi.org/10.1038/s41586-023-06062-z" TargetMode="External"/><Relationship Id="rId268" Type="http://schemas.openxmlformats.org/officeDocument/2006/relationships/hyperlink" Target="https://www.nature.com/articles/s41588-024-01715-9" TargetMode="External"/><Relationship Id="rId389" Type="http://schemas.openxmlformats.org/officeDocument/2006/relationships/hyperlink" Target="https://doi.org/10.1038/s41588-024-01715-9" TargetMode="External"/><Relationship Id="rId6" Type="http://schemas.openxmlformats.org/officeDocument/2006/relationships/hyperlink" Target="https://www.pnas.org/doi/full/10.1073/pnas.1607532113" TargetMode="External"/><Relationship Id="rId146" Type="http://schemas.openxmlformats.org/officeDocument/2006/relationships/hyperlink" Target="https://www.nature.com/articles/s41586-023-06062-z" TargetMode="External"/><Relationship Id="rId267" Type="http://schemas.openxmlformats.org/officeDocument/2006/relationships/hyperlink" Target="https://doi.org/10.1038/s41588-024-01715-9" TargetMode="External"/><Relationship Id="rId388" Type="http://schemas.openxmlformats.org/officeDocument/2006/relationships/hyperlink" Target="https://www.nature.com/articles/s41588-024-01715-9" TargetMode="External"/><Relationship Id="rId7" Type="http://schemas.openxmlformats.org/officeDocument/2006/relationships/hyperlink" Target="https://doi.org/10.1038/s41467-018-03016-2" TargetMode="External"/><Relationship Id="rId145" Type="http://schemas.openxmlformats.org/officeDocument/2006/relationships/hyperlink" Target="https://doi.org/10.1038/s41586-023-06062-z" TargetMode="External"/><Relationship Id="rId266" Type="http://schemas.openxmlformats.org/officeDocument/2006/relationships/hyperlink" Target="https://www.nature.com/articles/s41588-024-01715-9" TargetMode="External"/><Relationship Id="rId387" Type="http://schemas.openxmlformats.org/officeDocument/2006/relationships/hyperlink" Target="https://doi.org/10.1038/s41588-024-01715-9" TargetMode="External"/><Relationship Id="rId8" Type="http://schemas.openxmlformats.org/officeDocument/2006/relationships/hyperlink" Target="https://www.nature.com/articles/s41467-018-03016-2" TargetMode="External"/><Relationship Id="rId144" Type="http://schemas.openxmlformats.org/officeDocument/2006/relationships/hyperlink" Target="https://www.nature.com/articles/s41586-023-06062-z" TargetMode="External"/><Relationship Id="rId265" Type="http://schemas.openxmlformats.org/officeDocument/2006/relationships/hyperlink" Target="https://doi.org/10.1038/s41588-024-01715-9" TargetMode="External"/><Relationship Id="rId386" Type="http://schemas.openxmlformats.org/officeDocument/2006/relationships/hyperlink" Target="https://www.nature.com/articles/s41588-024-01715-9" TargetMode="External"/><Relationship Id="rId260" Type="http://schemas.openxmlformats.org/officeDocument/2006/relationships/hyperlink" Target="https://www.nature.com/articles/s41588-024-01715-9" TargetMode="External"/><Relationship Id="rId381" Type="http://schemas.openxmlformats.org/officeDocument/2006/relationships/hyperlink" Target="https://doi.org/10.1038/s41588-024-01715-9" TargetMode="External"/><Relationship Id="rId380" Type="http://schemas.openxmlformats.org/officeDocument/2006/relationships/hyperlink" Target="https://www.nature.com/articles/s41588-024-01715-9" TargetMode="External"/><Relationship Id="rId139" Type="http://schemas.openxmlformats.org/officeDocument/2006/relationships/hyperlink" Target="https://doi.org/10.1038/s41586-023-06062-z" TargetMode="External"/><Relationship Id="rId138" Type="http://schemas.openxmlformats.org/officeDocument/2006/relationships/hyperlink" Target="https://www.nature.com/articles/s41586-023-06062-z" TargetMode="External"/><Relationship Id="rId259" Type="http://schemas.openxmlformats.org/officeDocument/2006/relationships/hyperlink" Target="https://doi.org/10.1038/s41588-024-01715-9" TargetMode="External"/><Relationship Id="rId137" Type="http://schemas.openxmlformats.org/officeDocument/2006/relationships/hyperlink" Target="https://doi.org/10.1038/s41586-023-06062-z" TargetMode="External"/><Relationship Id="rId258" Type="http://schemas.openxmlformats.org/officeDocument/2006/relationships/hyperlink" Target="https://www.nature.com/articles/s41588-024-01715-9" TargetMode="External"/><Relationship Id="rId379" Type="http://schemas.openxmlformats.org/officeDocument/2006/relationships/hyperlink" Target="https://doi.org/10.1038/s41588-024-01715-9" TargetMode="External"/><Relationship Id="rId132" Type="http://schemas.openxmlformats.org/officeDocument/2006/relationships/hyperlink" Target="https://www.nature.com/articles/s41586-023-06062-z" TargetMode="External"/><Relationship Id="rId253" Type="http://schemas.openxmlformats.org/officeDocument/2006/relationships/hyperlink" Target="https://doi.org/10.1038/s41588-024-01715-9" TargetMode="External"/><Relationship Id="rId374" Type="http://schemas.openxmlformats.org/officeDocument/2006/relationships/hyperlink" Target="https://www.nature.com/articles/s41588-024-01715-9" TargetMode="External"/><Relationship Id="rId131" Type="http://schemas.openxmlformats.org/officeDocument/2006/relationships/hyperlink" Target="https://doi.org/10.1038/s41586-023-06062-z" TargetMode="External"/><Relationship Id="rId252" Type="http://schemas.openxmlformats.org/officeDocument/2006/relationships/hyperlink" Target="https://www.nature.com/articles/s41467-023-42029-4" TargetMode="External"/><Relationship Id="rId373" Type="http://schemas.openxmlformats.org/officeDocument/2006/relationships/hyperlink" Target="https://doi.org/10.1038/s41588-024-01715-9" TargetMode="External"/><Relationship Id="rId130" Type="http://schemas.openxmlformats.org/officeDocument/2006/relationships/hyperlink" Target="https://www.nature.com/articles/s41586-023-06062-z" TargetMode="External"/><Relationship Id="rId251" Type="http://schemas.openxmlformats.org/officeDocument/2006/relationships/hyperlink" Target="https://doi.org/10.1038/s41467-023-42029-4" TargetMode="External"/><Relationship Id="rId372" Type="http://schemas.openxmlformats.org/officeDocument/2006/relationships/hyperlink" Target="https://www.nature.com/articles/s41588-024-01715-9" TargetMode="External"/><Relationship Id="rId250" Type="http://schemas.openxmlformats.org/officeDocument/2006/relationships/hyperlink" Target="https://www.nature.com/articles/s41467-023-42029-4" TargetMode="External"/><Relationship Id="rId371" Type="http://schemas.openxmlformats.org/officeDocument/2006/relationships/hyperlink" Target="https://doi.org/10.1038/s41588-024-01715-9" TargetMode="External"/><Relationship Id="rId136" Type="http://schemas.openxmlformats.org/officeDocument/2006/relationships/hyperlink" Target="https://www.nature.com/articles/s41586-023-06062-z" TargetMode="External"/><Relationship Id="rId257" Type="http://schemas.openxmlformats.org/officeDocument/2006/relationships/hyperlink" Target="https://doi.org/10.1038/s41588-024-01715-9" TargetMode="External"/><Relationship Id="rId378" Type="http://schemas.openxmlformats.org/officeDocument/2006/relationships/hyperlink" Target="https://www.nature.com/articles/s41588-024-01715-9" TargetMode="External"/><Relationship Id="rId135" Type="http://schemas.openxmlformats.org/officeDocument/2006/relationships/hyperlink" Target="https://doi.org/10.1038/s41586-023-06062-z" TargetMode="External"/><Relationship Id="rId256" Type="http://schemas.openxmlformats.org/officeDocument/2006/relationships/hyperlink" Target="https://www.nature.com/articles/s41588-024-01715-9" TargetMode="External"/><Relationship Id="rId377" Type="http://schemas.openxmlformats.org/officeDocument/2006/relationships/hyperlink" Target="https://doi.org/10.1038/s41588-024-01715-9" TargetMode="External"/><Relationship Id="rId134" Type="http://schemas.openxmlformats.org/officeDocument/2006/relationships/hyperlink" Target="https://www.nature.com/articles/s41586-023-06062-z" TargetMode="External"/><Relationship Id="rId255" Type="http://schemas.openxmlformats.org/officeDocument/2006/relationships/hyperlink" Target="https://doi.org/10.1038/s41588-024-01715-9" TargetMode="External"/><Relationship Id="rId376" Type="http://schemas.openxmlformats.org/officeDocument/2006/relationships/hyperlink" Target="https://www.nature.com/articles/s41588-024-01715-9" TargetMode="External"/><Relationship Id="rId133" Type="http://schemas.openxmlformats.org/officeDocument/2006/relationships/hyperlink" Target="https://doi.org/10.1038/s41586-023-06062-z" TargetMode="External"/><Relationship Id="rId254" Type="http://schemas.openxmlformats.org/officeDocument/2006/relationships/hyperlink" Target="https://www.nature.com/articles/s41588-024-01715-9" TargetMode="External"/><Relationship Id="rId375" Type="http://schemas.openxmlformats.org/officeDocument/2006/relationships/hyperlink" Target="https://doi.org/10.1038/s41588-024-01715-9" TargetMode="External"/><Relationship Id="rId172" Type="http://schemas.openxmlformats.org/officeDocument/2006/relationships/hyperlink" Target="https://www.nature.com/articles/s41586-023-06062-z" TargetMode="External"/><Relationship Id="rId293" Type="http://schemas.openxmlformats.org/officeDocument/2006/relationships/hyperlink" Target="https://doi.org/10.1038/s41588-024-01715-9" TargetMode="External"/><Relationship Id="rId171" Type="http://schemas.openxmlformats.org/officeDocument/2006/relationships/hyperlink" Target="https://doi.org/10.1038/s41586-023-06062-z" TargetMode="External"/><Relationship Id="rId292" Type="http://schemas.openxmlformats.org/officeDocument/2006/relationships/hyperlink" Target="https://www.nature.com/articles/s41588-024-01715-9" TargetMode="External"/><Relationship Id="rId170" Type="http://schemas.openxmlformats.org/officeDocument/2006/relationships/hyperlink" Target="https://www.nature.com/articles/s41586-023-06062-z" TargetMode="External"/><Relationship Id="rId291" Type="http://schemas.openxmlformats.org/officeDocument/2006/relationships/hyperlink" Target="https://doi.org/10.1038/s41588-024-01715-9" TargetMode="External"/><Relationship Id="rId290" Type="http://schemas.openxmlformats.org/officeDocument/2006/relationships/hyperlink" Target="https://www.nature.com/articles/s41588-024-01715-9" TargetMode="External"/><Relationship Id="rId165" Type="http://schemas.openxmlformats.org/officeDocument/2006/relationships/hyperlink" Target="https://doi.org/10.1038/s41586-023-06062-z" TargetMode="External"/><Relationship Id="rId286" Type="http://schemas.openxmlformats.org/officeDocument/2006/relationships/hyperlink" Target="https://www.nature.com/articles/s41588-024-01715-9" TargetMode="External"/><Relationship Id="rId164" Type="http://schemas.openxmlformats.org/officeDocument/2006/relationships/hyperlink" Target="https://www.nature.com/articles/s41586-023-06062-z" TargetMode="External"/><Relationship Id="rId285" Type="http://schemas.openxmlformats.org/officeDocument/2006/relationships/hyperlink" Target="https://doi.org/10.1038/s41588-024-01715-9" TargetMode="External"/><Relationship Id="rId163" Type="http://schemas.openxmlformats.org/officeDocument/2006/relationships/hyperlink" Target="https://doi.org/10.1038/s41586-023-06062-z" TargetMode="External"/><Relationship Id="rId284" Type="http://schemas.openxmlformats.org/officeDocument/2006/relationships/hyperlink" Target="https://www.nature.com/articles/s41588-024-01715-9" TargetMode="External"/><Relationship Id="rId162" Type="http://schemas.openxmlformats.org/officeDocument/2006/relationships/hyperlink" Target="https://www.nature.com/articles/s41586-023-06062-z" TargetMode="External"/><Relationship Id="rId283" Type="http://schemas.openxmlformats.org/officeDocument/2006/relationships/hyperlink" Target="https://doi.org/10.1038/s41588-024-01715-9" TargetMode="External"/><Relationship Id="rId169" Type="http://schemas.openxmlformats.org/officeDocument/2006/relationships/hyperlink" Target="https://doi.org/10.1038/s41586-023-06062-z" TargetMode="External"/><Relationship Id="rId168" Type="http://schemas.openxmlformats.org/officeDocument/2006/relationships/hyperlink" Target="https://www.nature.com/articles/s41586-023-06062-z" TargetMode="External"/><Relationship Id="rId289" Type="http://schemas.openxmlformats.org/officeDocument/2006/relationships/hyperlink" Target="https://doi.org/10.1038/s41588-024-01715-9" TargetMode="External"/><Relationship Id="rId167" Type="http://schemas.openxmlformats.org/officeDocument/2006/relationships/hyperlink" Target="https://doi.org/10.1038/s41586-023-06062-z" TargetMode="External"/><Relationship Id="rId288" Type="http://schemas.openxmlformats.org/officeDocument/2006/relationships/hyperlink" Target="https://www.nature.com/articles/s41588-024-01715-9" TargetMode="External"/><Relationship Id="rId166" Type="http://schemas.openxmlformats.org/officeDocument/2006/relationships/hyperlink" Target="https://www.nature.com/articles/s41586-023-06062-z" TargetMode="External"/><Relationship Id="rId287" Type="http://schemas.openxmlformats.org/officeDocument/2006/relationships/hyperlink" Target="https://doi.org/10.1038/s41588-024-01715-9" TargetMode="External"/><Relationship Id="rId161" Type="http://schemas.openxmlformats.org/officeDocument/2006/relationships/hyperlink" Target="https://doi.org/10.1038/s41586-023-06062-z" TargetMode="External"/><Relationship Id="rId282" Type="http://schemas.openxmlformats.org/officeDocument/2006/relationships/hyperlink" Target="https://www.nature.com/articles/s41588-024-01715-9" TargetMode="External"/><Relationship Id="rId160" Type="http://schemas.openxmlformats.org/officeDocument/2006/relationships/hyperlink" Target="https://www.nature.com/articles/s41586-023-06062-z" TargetMode="External"/><Relationship Id="rId281" Type="http://schemas.openxmlformats.org/officeDocument/2006/relationships/hyperlink" Target="https://doi.org/10.1038/s41588-024-01715-9" TargetMode="External"/><Relationship Id="rId280" Type="http://schemas.openxmlformats.org/officeDocument/2006/relationships/hyperlink" Target="https://www.nature.com/articles/s41588-024-01715-9" TargetMode="External"/><Relationship Id="rId159" Type="http://schemas.openxmlformats.org/officeDocument/2006/relationships/hyperlink" Target="https://doi.org/10.1038/s41586-023-06062-z" TargetMode="External"/><Relationship Id="rId154" Type="http://schemas.openxmlformats.org/officeDocument/2006/relationships/hyperlink" Target="https://www.nature.com/articles/s41586-023-06062-z" TargetMode="External"/><Relationship Id="rId275" Type="http://schemas.openxmlformats.org/officeDocument/2006/relationships/hyperlink" Target="https://doi.org/10.1038/s41588-024-01715-9" TargetMode="External"/><Relationship Id="rId396" Type="http://schemas.openxmlformats.org/officeDocument/2006/relationships/hyperlink" Target="https://www.nature.com/articles/s41588-024-01715-9" TargetMode="External"/><Relationship Id="rId153" Type="http://schemas.openxmlformats.org/officeDocument/2006/relationships/hyperlink" Target="https://doi.org/10.1038/s41586-023-06062-z" TargetMode="External"/><Relationship Id="rId274" Type="http://schemas.openxmlformats.org/officeDocument/2006/relationships/hyperlink" Target="https://www.nature.com/articles/s41588-024-01715-9" TargetMode="External"/><Relationship Id="rId395" Type="http://schemas.openxmlformats.org/officeDocument/2006/relationships/hyperlink" Target="https://doi.org/10.1038/s41588-024-01715-9" TargetMode="External"/><Relationship Id="rId152" Type="http://schemas.openxmlformats.org/officeDocument/2006/relationships/hyperlink" Target="https://www.nature.com/articles/s41586-023-06062-z" TargetMode="External"/><Relationship Id="rId273" Type="http://schemas.openxmlformats.org/officeDocument/2006/relationships/hyperlink" Target="https://doi.org/10.1038/s41588-024-01715-9" TargetMode="External"/><Relationship Id="rId394" Type="http://schemas.openxmlformats.org/officeDocument/2006/relationships/hyperlink" Target="https://www.nature.com/articles/s41588-024-01715-9" TargetMode="External"/><Relationship Id="rId151" Type="http://schemas.openxmlformats.org/officeDocument/2006/relationships/hyperlink" Target="https://doi.org/10.1038/s41586-023-06062-z" TargetMode="External"/><Relationship Id="rId272" Type="http://schemas.openxmlformats.org/officeDocument/2006/relationships/hyperlink" Target="https://www.nature.com/articles/s41588-024-01715-9" TargetMode="External"/><Relationship Id="rId393" Type="http://schemas.openxmlformats.org/officeDocument/2006/relationships/hyperlink" Target="https://doi.org/10.1038/s41588-024-01715-9" TargetMode="External"/><Relationship Id="rId158" Type="http://schemas.openxmlformats.org/officeDocument/2006/relationships/hyperlink" Target="https://www.nature.com/articles/s41586-023-06062-z" TargetMode="External"/><Relationship Id="rId279" Type="http://schemas.openxmlformats.org/officeDocument/2006/relationships/hyperlink" Target="https://doi.org/10.1038/s41588-024-01715-9" TargetMode="External"/><Relationship Id="rId157" Type="http://schemas.openxmlformats.org/officeDocument/2006/relationships/hyperlink" Target="https://doi.org/10.1038/s41586-023-06062-z" TargetMode="External"/><Relationship Id="rId278" Type="http://schemas.openxmlformats.org/officeDocument/2006/relationships/hyperlink" Target="https://www.nature.com/articles/s41588-024-01715-9" TargetMode="External"/><Relationship Id="rId399" Type="http://schemas.openxmlformats.org/officeDocument/2006/relationships/hyperlink" Target="https://www.biorxiv.org/content/10.1101/2024.05.30.596703v1" TargetMode="External"/><Relationship Id="rId156" Type="http://schemas.openxmlformats.org/officeDocument/2006/relationships/hyperlink" Target="https://www.nature.com/articles/s41586-023-06062-z" TargetMode="External"/><Relationship Id="rId277" Type="http://schemas.openxmlformats.org/officeDocument/2006/relationships/hyperlink" Target="https://doi.org/10.1038/s41588-024-01715-9" TargetMode="External"/><Relationship Id="rId398" Type="http://schemas.openxmlformats.org/officeDocument/2006/relationships/hyperlink" Target="https://www.biorxiv.org/content/10.1101/2024.05.30.596703v1" TargetMode="External"/><Relationship Id="rId155" Type="http://schemas.openxmlformats.org/officeDocument/2006/relationships/hyperlink" Target="https://doi.org/10.1038/s41586-023-06062-z" TargetMode="External"/><Relationship Id="rId276" Type="http://schemas.openxmlformats.org/officeDocument/2006/relationships/hyperlink" Target="https://www.nature.com/articles/s41588-024-01715-9" TargetMode="External"/><Relationship Id="rId397" Type="http://schemas.openxmlformats.org/officeDocument/2006/relationships/hyperlink" Target="https://www.biorxiv.org/content/10.1101/2024.05.30.596703v1" TargetMode="External"/><Relationship Id="rId40" Type="http://schemas.openxmlformats.org/officeDocument/2006/relationships/hyperlink" Target="https://doi.org/10.1093/nar/gkac1115" TargetMode="External"/><Relationship Id="rId42" Type="http://schemas.openxmlformats.org/officeDocument/2006/relationships/hyperlink" Target="https://doi.org/10.1093/nar/gkac1115" TargetMode="External"/><Relationship Id="rId41" Type="http://schemas.openxmlformats.org/officeDocument/2006/relationships/hyperlink" Target="https://doi.org/10.1093/nar/gkac1115" TargetMode="External"/><Relationship Id="rId44" Type="http://schemas.openxmlformats.org/officeDocument/2006/relationships/hyperlink" Target="https://doi.org/10.1093/nar/gkac1115" TargetMode="External"/><Relationship Id="rId43" Type="http://schemas.openxmlformats.org/officeDocument/2006/relationships/hyperlink" Target="https://doi.org/10.1093/nar/gkac1115" TargetMode="External"/><Relationship Id="rId46" Type="http://schemas.openxmlformats.org/officeDocument/2006/relationships/hyperlink" Target="https://wellcomeopenresearch.org/articles/8-40/v1" TargetMode="External"/><Relationship Id="rId45" Type="http://schemas.openxmlformats.org/officeDocument/2006/relationships/hyperlink" Target="https://doi.org/10.12688/wellcomeopenres.18665.1" TargetMode="External"/><Relationship Id="rId48" Type="http://schemas.openxmlformats.org/officeDocument/2006/relationships/hyperlink" Target="https://journals.plos.org/plosgenetics/article?id=10.1371/journal.pgen.1010479" TargetMode="External"/><Relationship Id="rId47" Type="http://schemas.openxmlformats.org/officeDocument/2006/relationships/hyperlink" Target="https://doi.org/10.1371/journal.pgen.1010479" TargetMode="External"/><Relationship Id="rId49" Type="http://schemas.openxmlformats.org/officeDocument/2006/relationships/hyperlink" Target="https://doi.org/10.1186/s13059-023-02875-3" TargetMode="External"/><Relationship Id="rId31" Type="http://schemas.openxmlformats.org/officeDocument/2006/relationships/hyperlink" Target="https://doi.org/10.1126/science.abi7489" TargetMode="External"/><Relationship Id="rId30" Type="http://schemas.openxmlformats.org/officeDocument/2006/relationships/hyperlink" Target="https://academic.oup.com/mbe/article/38/2/557/5910554?login=true" TargetMode="External"/><Relationship Id="rId33" Type="http://schemas.openxmlformats.org/officeDocument/2006/relationships/hyperlink" Target="https://doi.org/10.1016/j.gpb.2021.08.003" TargetMode="External"/><Relationship Id="rId32" Type="http://schemas.openxmlformats.org/officeDocument/2006/relationships/hyperlink" Target="https://www.science.org/doi/10.1126/science.abi7489" TargetMode="External"/><Relationship Id="rId35" Type="http://schemas.openxmlformats.org/officeDocument/2006/relationships/hyperlink" Target="https://doi.org/10.1016/j.molp.2022.05.014" TargetMode="External"/><Relationship Id="rId34" Type="http://schemas.openxmlformats.org/officeDocument/2006/relationships/hyperlink" Target="https://academic.oup.com/gpb/article/20/1/4/7230403?login=true" TargetMode="External"/><Relationship Id="rId37" Type="http://schemas.openxmlformats.org/officeDocument/2006/relationships/hyperlink" Target="https://doi.org/10.1016/j.molp.2022.05.014" TargetMode="External"/><Relationship Id="rId36" Type="http://schemas.openxmlformats.org/officeDocument/2006/relationships/hyperlink" Target="https://www.sciencedirect.com/science/article/pii/S1674205222001812?via%3Dihub" TargetMode="External"/><Relationship Id="rId39" Type="http://schemas.openxmlformats.org/officeDocument/2006/relationships/hyperlink" Target="https://doi.org/10.1093/nar/gkac1115" TargetMode="External"/><Relationship Id="rId38" Type="http://schemas.openxmlformats.org/officeDocument/2006/relationships/hyperlink" Target="https://www.sciencedirect.com/science/article/pii/S1674205222001812?via%3Dihub" TargetMode="External"/><Relationship Id="rId20" Type="http://schemas.openxmlformats.org/officeDocument/2006/relationships/hyperlink" Target="https://www.nature.com/articles/s41467-020-14779-y" TargetMode="External"/><Relationship Id="rId22" Type="http://schemas.openxmlformats.org/officeDocument/2006/relationships/hyperlink" Target="https://www.nature.com/articles/s41467-020-14779-y" TargetMode="External"/><Relationship Id="rId21" Type="http://schemas.openxmlformats.org/officeDocument/2006/relationships/hyperlink" Target="https://doi.org/10.1038/s41467-020-14779-y" TargetMode="External"/><Relationship Id="rId24" Type="http://schemas.openxmlformats.org/officeDocument/2006/relationships/hyperlink" Target="https://www.nature.com/articles/s41467-020-14779-y" TargetMode="External"/><Relationship Id="rId23" Type="http://schemas.openxmlformats.org/officeDocument/2006/relationships/hyperlink" Target="https://doi.org/10.1038/s41467-020-14779-y" TargetMode="External"/><Relationship Id="rId409" Type="http://schemas.openxmlformats.org/officeDocument/2006/relationships/hyperlink" Target="https://www.biorxiv.org/content/10.1101/2024.05.30.596703v1" TargetMode="External"/><Relationship Id="rId404" Type="http://schemas.openxmlformats.org/officeDocument/2006/relationships/hyperlink" Target="https://www.biorxiv.org/content/10.1101/2024.05.30.596703v1" TargetMode="External"/><Relationship Id="rId403" Type="http://schemas.openxmlformats.org/officeDocument/2006/relationships/hyperlink" Target="https://www.biorxiv.org/content/10.1101/2024.05.30.596703v1" TargetMode="External"/><Relationship Id="rId402" Type="http://schemas.openxmlformats.org/officeDocument/2006/relationships/hyperlink" Target="https://www.biorxiv.org/content/10.1101/2024.05.30.596703v1" TargetMode="External"/><Relationship Id="rId401" Type="http://schemas.openxmlformats.org/officeDocument/2006/relationships/hyperlink" Target="https://www.biorxiv.org/content/10.1101/2024.05.30.596703v1" TargetMode="External"/><Relationship Id="rId408" Type="http://schemas.openxmlformats.org/officeDocument/2006/relationships/hyperlink" Target="https://www.biorxiv.org/content/10.1101/2024.05.30.596703v1" TargetMode="External"/><Relationship Id="rId407" Type="http://schemas.openxmlformats.org/officeDocument/2006/relationships/hyperlink" Target="https://www.biorxiv.org/content/10.1101/2024.05.30.596703v1" TargetMode="External"/><Relationship Id="rId406" Type="http://schemas.openxmlformats.org/officeDocument/2006/relationships/hyperlink" Target="https://www.biorxiv.org/content/10.1101/2024.05.30.596703v1" TargetMode="External"/><Relationship Id="rId405" Type="http://schemas.openxmlformats.org/officeDocument/2006/relationships/hyperlink" Target="https://www.biorxiv.org/content/10.1101/2024.05.30.596703v1" TargetMode="External"/><Relationship Id="rId26" Type="http://schemas.openxmlformats.org/officeDocument/2006/relationships/hyperlink" Target="https://www.nature.com/articles/s41467-020-14779-y" TargetMode="External"/><Relationship Id="rId25" Type="http://schemas.openxmlformats.org/officeDocument/2006/relationships/hyperlink" Target="https://doi.org/10.1038/s41467-020-14779-y" TargetMode="External"/><Relationship Id="rId28" Type="http://schemas.openxmlformats.org/officeDocument/2006/relationships/hyperlink" Target="https://www.nature.com/articles/s41467-020-14779-y" TargetMode="External"/><Relationship Id="rId27" Type="http://schemas.openxmlformats.org/officeDocument/2006/relationships/hyperlink" Target="https://doi.org/10.1038/s41467-020-14779-y" TargetMode="External"/><Relationship Id="rId400" Type="http://schemas.openxmlformats.org/officeDocument/2006/relationships/hyperlink" Target="https://www.biorxiv.org/content/10.1101/2024.05.30.596703v1" TargetMode="External"/><Relationship Id="rId29" Type="http://schemas.openxmlformats.org/officeDocument/2006/relationships/hyperlink" Target="https://doi.org/10.1093/molbev/msaa245" TargetMode="External"/><Relationship Id="rId11" Type="http://schemas.openxmlformats.org/officeDocument/2006/relationships/hyperlink" Target="https://doi.org/10.1371/journal.pone.0216233" TargetMode="External"/><Relationship Id="rId10" Type="http://schemas.openxmlformats.org/officeDocument/2006/relationships/hyperlink" Target="https://www.nature.com/articles/s41467-018-03016-2" TargetMode="External"/><Relationship Id="rId13" Type="http://schemas.openxmlformats.org/officeDocument/2006/relationships/hyperlink" Target="https://doi.org/10.1186/s13059-019-1911-0" TargetMode="External"/><Relationship Id="rId12" Type="http://schemas.openxmlformats.org/officeDocument/2006/relationships/hyperlink" Target="https://journals.plos.org/plosone/article?id=10.1371/journal.pone.0216233" TargetMode="External"/><Relationship Id="rId15" Type="http://schemas.openxmlformats.org/officeDocument/2006/relationships/hyperlink" Target="https://doi.org/10.1038/s41467-020-14779-y" TargetMode="External"/><Relationship Id="rId14" Type="http://schemas.openxmlformats.org/officeDocument/2006/relationships/hyperlink" Target="https://genomebiology.biomedcentral.com/articles/10.1186/s13059-019-1911-0" TargetMode="External"/><Relationship Id="rId17" Type="http://schemas.openxmlformats.org/officeDocument/2006/relationships/hyperlink" Target="https://doi.org/10.1038/s41467-020-14779-y" TargetMode="External"/><Relationship Id="rId16" Type="http://schemas.openxmlformats.org/officeDocument/2006/relationships/hyperlink" Target="https://www.nature.com/articles/s41467-020-14779-y" TargetMode="External"/><Relationship Id="rId19" Type="http://schemas.openxmlformats.org/officeDocument/2006/relationships/hyperlink" Target="https://doi.org/10.1038/s41467-020-14779-y" TargetMode="External"/><Relationship Id="rId18" Type="http://schemas.openxmlformats.org/officeDocument/2006/relationships/hyperlink" Target="https://www.nature.com/articles/s41467-020-14779-y" TargetMode="External"/><Relationship Id="rId84" Type="http://schemas.openxmlformats.org/officeDocument/2006/relationships/hyperlink" Target="https://www.nature.com/articles/s41586-023-06062-z" TargetMode="External"/><Relationship Id="rId83" Type="http://schemas.openxmlformats.org/officeDocument/2006/relationships/hyperlink" Target="https://doi.org/10.1038/s41586-023-06062-z" TargetMode="External"/><Relationship Id="rId86" Type="http://schemas.openxmlformats.org/officeDocument/2006/relationships/hyperlink" Target="https://www.nature.com/articles/s41586-023-06062-z" TargetMode="External"/><Relationship Id="rId85" Type="http://schemas.openxmlformats.org/officeDocument/2006/relationships/hyperlink" Target="https://doi.org/10.1038/s41586-023-06062-z" TargetMode="External"/><Relationship Id="rId88" Type="http://schemas.openxmlformats.org/officeDocument/2006/relationships/hyperlink" Target="https://www.nature.com/articles/s41586-023-06062-z" TargetMode="External"/><Relationship Id="rId87" Type="http://schemas.openxmlformats.org/officeDocument/2006/relationships/hyperlink" Target="https://doi.org/10.1038/s41586-023-06062-z" TargetMode="External"/><Relationship Id="rId89" Type="http://schemas.openxmlformats.org/officeDocument/2006/relationships/hyperlink" Target="https://doi.org/10.1038/s41586-023-06062-z" TargetMode="External"/><Relationship Id="rId80" Type="http://schemas.openxmlformats.org/officeDocument/2006/relationships/hyperlink" Target="https://www.nature.com/articles/s41586-023-06062-z" TargetMode="External"/><Relationship Id="rId82" Type="http://schemas.openxmlformats.org/officeDocument/2006/relationships/hyperlink" Target="https://www.nature.com/articles/s41586-023-06062-z" TargetMode="External"/><Relationship Id="rId81" Type="http://schemas.openxmlformats.org/officeDocument/2006/relationships/hyperlink" Target="https://doi.org/10.1038/s41586-023-06062-z" TargetMode="External"/><Relationship Id="rId73" Type="http://schemas.openxmlformats.org/officeDocument/2006/relationships/hyperlink" Target="https://doi.org/10.1038/s41586-023-06062-z" TargetMode="External"/><Relationship Id="rId72" Type="http://schemas.openxmlformats.org/officeDocument/2006/relationships/hyperlink" Target="https://www.nature.com/articles/s41586-023-06062-z" TargetMode="External"/><Relationship Id="rId75" Type="http://schemas.openxmlformats.org/officeDocument/2006/relationships/hyperlink" Target="https://doi.org/10.1038/s41586-023-06062-z" TargetMode="External"/><Relationship Id="rId74" Type="http://schemas.openxmlformats.org/officeDocument/2006/relationships/hyperlink" Target="https://www.nature.com/articles/s41586-023-06062-z" TargetMode="External"/><Relationship Id="rId77" Type="http://schemas.openxmlformats.org/officeDocument/2006/relationships/hyperlink" Target="https://doi.org/10.1038/s41586-023-06062-z" TargetMode="External"/><Relationship Id="rId76" Type="http://schemas.openxmlformats.org/officeDocument/2006/relationships/hyperlink" Target="https://www.nature.com/articles/s41586-023-06062-z" TargetMode="External"/><Relationship Id="rId79" Type="http://schemas.openxmlformats.org/officeDocument/2006/relationships/hyperlink" Target="https://doi.org/10.1038/s41586-023-06062-z" TargetMode="External"/><Relationship Id="rId78" Type="http://schemas.openxmlformats.org/officeDocument/2006/relationships/hyperlink" Target="https://www.nature.com/articles/s41586-023-06062-z" TargetMode="External"/><Relationship Id="rId71" Type="http://schemas.openxmlformats.org/officeDocument/2006/relationships/hyperlink" Target="https://doi.org/10.1038/s41586-023-06062-z" TargetMode="External"/><Relationship Id="rId70" Type="http://schemas.openxmlformats.org/officeDocument/2006/relationships/hyperlink" Target="https://www.nature.com/articles/s41586-023-06062-z" TargetMode="External"/><Relationship Id="rId62" Type="http://schemas.openxmlformats.org/officeDocument/2006/relationships/hyperlink" Target="https://www.nature.com/articles/s41586-023-06062-z" TargetMode="External"/><Relationship Id="rId61" Type="http://schemas.openxmlformats.org/officeDocument/2006/relationships/hyperlink" Target="https://doi.org/10.1038/s41586-023-06062-z" TargetMode="External"/><Relationship Id="rId64" Type="http://schemas.openxmlformats.org/officeDocument/2006/relationships/hyperlink" Target="https://www.nature.com/articles/s41586-023-06062-z" TargetMode="External"/><Relationship Id="rId63" Type="http://schemas.openxmlformats.org/officeDocument/2006/relationships/hyperlink" Target="https://doi.org/10.1038/s41586-023-06062-z" TargetMode="External"/><Relationship Id="rId66" Type="http://schemas.openxmlformats.org/officeDocument/2006/relationships/hyperlink" Target="https://www.nature.com/articles/s41586-023-06062-z" TargetMode="External"/><Relationship Id="rId65" Type="http://schemas.openxmlformats.org/officeDocument/2006/relationships/hyperlink" Target="https://doi.org/10.1038/s41586-023-06062-z" TargetMode="External"/><Relationship Id="rId68" Type="http://schemas.openxmlformats.org/officeDocument/2006/relationships/hyperlink" Target="https://www.nature.com/articles/s41586-023-06062-z" TargetMode="External"/><Relationship Id="rId67" Type="http://schemas.openxmlformats.org/officeDocument/2006/relationships/hyperlink" Target="https://doi.org/10.1038/s41586-023-06062-z" TargetMode="External"/><Relationship Id="rId60" Type="http://schemas.openxmlformats.org/officeDocument/2006/relationships/hyperlink" Target="https://genomebiology.biomedcentral.com/articles/10.1186/s13059-023-02875-3" TargetMode="External"/><Relationship Id="rId69" Type="http://schemas.openxmlformats.org/officeDocument/2006/relationships/hyperlink" Target="https://doi.org/10.1038/s41586-023-06062-z" TargetMode="External"/><Relationship Id="rId51" Type="http://schemas.openxmlformats.org/officeDocument/2006/relationships/hyperlink" Target="https://doi.org/10.1186/s13059-023-02875-3" TargetMode="External"/><Relationship Id="rId50" Type="http://schemas.openxmlformats.org/officeDocument/2006/relationships/hyperlink" Target="https://genomebiology.biomedcentral.com/articles/10.1186/s13059-023-02875-3" TargetMode="External"/><Relationship Id="rId53" Type="http://schemas.openxmlformats.org/officeDocument/2006/relationships/hyperlink" Target="https://doi.org/10.1186/s13059-023-02875-3" TargetMode="External"/><Relationship Id="rId52" Type="http://schemas.openxmlformats.org/officeDocument/2006/relationships/hyperlink" Target="https://genomebiology.biomedcentral.com/articles/10.1186/s13059-023-02875-3" TargetMode="External"/><Relationship Id="rId55" Type="http://schemas.openxmlformats.org/officeDocument/2006/relationships/hyperlink" Target="https://doi.org/10.1186/s13059-023-02875-3" TargetMode="External"/><Relationship Id="rId54" Type="http://schemas.openxmlformats.org/officeDocument/2006/relationships/hyperlink" Target="https://genomebiology.biomedcentral.com/articles/10.1186/s13059-023-02875-3" TargetMode="External"/><Relationship Id="rId57" Type="http://schemas.openxmlformats.org/officeDocument/2006/relationships/hyperlink" Target="https://doi.org/10.1186/s13059-023-02875-3" TargetMode="External"/><Relationship Id="rId56" Type="http://schemas.openxmlformats.org/officeDocument/2006/relationships/hyperlink" Target="https://genomebiology.biomedcentral.com/articles/10.1186/s13059-023-02875-3" TargetMode="External"/><Relationship Id="rId59" Type="http://schemas.openxmlformats.org/officeDocument/2006/relationships/hyperlink" Target="https://doi.org/10.1186/s13059-023-02875-3" TargetMode="External"/><Relationship Id="rId58" Type="http://schemas.openxmlformats.org/officeDocument/2006/relationships/hyperlink" Target="https://genomebiology.biomedcentral.com/articles/10.1186/s13059-023-02875-3" TargetMode="External"/><Relationship Id="rId107" Type="http://schemas.openxmlformats.org/officeDocument/2006/relationships/hyperlink" Target="https://doi.org/10.1038/s41586-023-06062-z" TargetMode="External"/><Relationship Id="rId228" Type="http://schemas.openxmlformats.org/officeDocument/2006/relationships/hyperlink" Target="https://www.nature.com/articles/s41467-023-42029-4" TargetMode="External"/><Relationship Id="rId349" Type="http://schemas.openxmlformats.org/officeDocument/2006/relationships/hyperlink" Target="https://doi.org/10.1038/s41588-024-01715-9" TargetMode="External"/><Relationship Id="rId106" Type="http://schemas.openxmlformats.org/officeDocument/2006/relationships/hyperlink" Target="https://www.nature.com/articles/s41586-023-06062-z" TargetMode="External"/><Relationship Id="rId227" Type="http://schemas.openxmlformats.org/officeDocument/2006/relationships/hyperlink" Target="https://doi.org/10.1038/s41467-023-42029-4" TargetMode="External"/><Relationship Id="rId348" Type="http://schemas.openxmlformats.org/officeDocument/2006/relationships/hyperlink" Target="https://www.nature.com/articles/s41588-024-01715-9" TargetMode="External"/><Relationship Id="rId105" Type="http://schemas.openxmlformats.org/officeDocument/2006/relationships/hyperlink" Target="https://doi.org/10.1038/s41586-023-06062-z" TargetMode="External"/><Relationship Id="rId226" Type="http://schemas.openxmlformats.org/officeDocument/2006/relationships/hyperlink" Target="https://www.nature.com/articles/s41467-023-42029-4" TargetMode="External"/><Relationship Id="rId347" Type="http://schemas.openxmlformats.org/officeDocument/2006/relationships/hyperlink" Target="https://doi.org/10.1038/s41588-024-01715-9" TargetMode="External"/><Relationship Id="rId104" Type="http://schemas.openxmlformats.org/officeDocument/2006/relationships/hyperlink" Target="https://www.nature.com/articles/s41586-023-06062-z" TargetMode="External"/><Relationship Id="rId225" Type="http://schemas.openxmlformats.org/officeDocument/2006/relationships/hyperlink" Target="https://doi.org/10.1038/s41467-023-42029-4" TargetMode="External"/><Relationship Id="rId346" Type="http://schemas.openxmlformats.org/officeDocument/2006/relationships/hyperlink" Target="https://www.nature.com/articles/s41588-024-01715-9" TargetMode="External"/><Relationship Id="rId109" Type="http://schemas.openxmlformats.org/officeDocument/2006/relationships/hyperlink" Target="https://doi.org/10.1038/s41586-023-06062-z" TargetMode="External"/><Relationship Id="rId108" Type="http://schemas.openxmlformats.org/officeDocument/2006/relationships/hyperlink" Target="https://www.nature.com/articles/s41586-023-06062-z" TargetMode="External"/><Relationship Id="rId229" Type="http://schemas.openxmlformats.org/officeDocument/2006/relationships/hyperlink" Target="https://doi.org/10.1038/s41467-023-42029-4" TargetMode="External"/><Relationship Id="rId220" Type="http://schemas.openxmlformats.org/officeDocument/2006/relationships/hyperlink" Target="https://www.nature.com/articles/s41467-023-42029-4" TargetMode="External"/><Relationship Id="rId341" Type="http://schemas.openxmlformats.org/officeDocument/2006/relationships/hyperlink" Target="https://doi.org/10.1038/s41588-024-01715-9" TargetMode="External"/><Relationship Id="rId340" Type="http://schemas.openxmlformats.org/officeDocument/2006/relationships/hyperlink" Target="https://www.nature.com/articles/s41588-024-01715-9" TargetMode="External"/><Relationship Id="rId103" Type="http://schemas.openxmlformats.org/officeDocument/2006/relationships/hyperlink" Target="https://doi.org/10.1038/s41586-023-06062-z" TargetMode="External"/><Relationship Id="rId224" Type="http://schemas.openxmlformats.org/officeDocument/2006/relationships/hyperlink" Target="https://www.nature.com/articles/s41467-023-42029-4" TargetMode="External"/><Relationship Id="rId345" Type="http://schemas.openxmlformats.org/officeDocument/2006/relationships/hyperlink" Target="https://doi.org/10.1038/s41588-024-01715-9" TargetMode="External"/><Relationship Id="rId102" Type="http://schemas.openxmlformats.org/officeDocument/2006/relationships/hyperlink" Target="https://www.nature.com/articles/s41586-023-06062-z" TargetMode="External"/><Relationship Id="rId223" Type="http://schemas.openxmlformats.org/officeDocument/2006/relationships/hyperlink" Target="https://doi.org/10.1038/s41467-023-42029-4" TargetMode="External"/><Relationship Id="rId344" Type="http://schemas.openxmlformats.org/officeDocument/2006/relationships/hyperlink" Target="https://www.nature.com/articles/s41588-024-01715-9" TargetMode="External"/><Relationship Id="rId101" Type="http://schemas.openxmlformats.org/officeDocument/2006/relationships/hyperlink" Target="https://doi.org/10.1038/s41586-023-06062-z" TargetMode="External"/><Relationship Id="rId222" Type="http://schemas.openxmlformats.org/officeDocument/2006/relationships/hyperlink" Target="https://www.nature.com/articles/s41467-023-42029-4" TargetMode="External"/><Relationship Id="rId343" Type="http://schemas.openxmlformats.org/officeDocument/2006/relationships/hyperlink" Target="https://doi.org/10.1038/s41588-024-01715-9" TargetMode="External"/><Relationship Id="rId100" Type="http://schemas.openxmlformats.org/officeDocument/2006/relationships/hyperlink" Target="https://www.nature.com/articles/s41586-023-06062-z" TargetMode="External"/><Relationship Id="rId221" Type="http://schemas.openxmlformats.org/officeDocument/2006/relationships/hyperlink" Target="https://doi.org/10.1038/s41467-023-42029-4" TargetMode="External"/><Relationship Id="rId342" Type="http://schemas.openxmlformats.org/officeDocument/2006/relationships/hyperlink" Target="https://www.nature.com/articles/s41588-024-01715-9" TargetMode="External"/><Relationship Id="rId217" Type="http://schemas.openxmlformats.org/officeDocument/2006/relationships/hyperlink" Target="https://doi.org/10.1038/s41467-023-42029-4" TargetMode="External"/><Relationship Id="rId338" Type="http://schemas.openxmlformats.org/officeDocument/2006/relationships/hyperlink" Target="https://www.nature.com/articles/s41588-024-01715-9" TargetMode="External"/><Relationship Id="rId216" Type="http://schemas.openxmlformats.org/officeDocument/2006/relationships/hyperlink" Target="https://www.nature.com/articles/s41467-023-42029-4" TargetMode="External"/><Relationship Id="rId337" Type="http://schemas.openxmlformats.org/officeDocument/2006/relationships/hyperlink" Target="https://doi.org/10.1038/s41588-024-01715-9" TargetMode="External"/><Relationship Id="rId215" Type="http://schemas.openxmlformats.org/officeDocument/2006/relationships/hyperlink" Target="https://doi.org/10.1038/s41467-023-42029-4" TargetMode="External"/><Relationship Id="rId336" Type="http://schemas.openxmlformats.org/officeDocument/2006/relationships/hyperlink" Target="https://www.nature.com/articles/s41588-024-01715-9" TargetMode="External"/><Relationship Id="rId214" Type="http://schemas.openxmlformats.org/officeDocument/2006/relationships/hyperlink" Target="https://www.nature.com/articles/s41467-023-42029-4" TargetMode="External"/><Relationship Id="rId335" Type="http://schemas.openxmlformats.org/officeDocument/2006/relationships/hyperlink" Target="https://doi.org/10.1038/s41588-024-01715-9" TargetMode="External"/><Relationship Id="rId219" Type="http://schemas.openxmlformats.org/officeDocument/2006/relationships/hyperlink" Target="https://doi.org/10.1038/s41467-023-42029-4" TargetMode="External"/><Relationship Id="rId218" Type="http://schemas.openxmlformats.org/officeDocument/2006/relationships/hyperlink" Target="https://www.nature.com/articles/s41467-023-42029-4" TargetMode="External"/><Relationship Id="rId339" Type="http://schemas.openxmlformats.org/officeDocument/2006/relationships/hyperlink" Target="https://doi.org/10.1038/s41588-024-01715-9" TargetMode="External"/><Relationship Id="rId330" Type="http://schemas.openxmlformats.org/officeDocument/2006/relationships/hyperlink" Target="https://www.nature.com/articles/s41588-024-01715-9" TargetMode="External"/><Relationship Id="rId451" Type="http://schemas.openxmlformats.org/officeDocument/2006/relationships/hyperlink" Target="https://doi.org/10.1093/gbe/evae169" TargetMode="External"/><Relationship Id="rId450" Type="http://schemas.openxmlformats.org/officeDocument/2006/relationships/hyperlink" Target="https://academic.oup.com/gbe/article/16/8/evae169/7727391?login=false" TargetMode="External"/><Relationship Id="rId213" Type="http://schemas.openxmlformats.org/officeDocument/2006/relationships/hyperlink" Target="https://doi.org/10.1038/s41467-023-42029-4" TargetMode="External"/><Relationship Id="rId334" Type="http://schemas.openxmlformats.org/officeDocument/2006/relationships/hyperlink" Target="https://www.nature.com/articles/s41588-024-01715-9" TargetMode="External"/><Relationship Id="rId455" Type="http://schemas.openxmlformats.org/officeDocument/2006/relationships/drawing" Target="../drawings/drawing1.xml"/><Relationship Id="rId212" Type="http://schemas.openxmlformats.org/officeDocument/2006/relationships/hyperlink" Target="https://www.nature.com/articles/s41467-023-42029-4" TargetMode="External"/><Relationship Id="rId333" Type="http://schemas.openxmlformats.org/officeDocument/2006/relationships/hyperlink" Target="https://doi.org/10.1038/s41588-024-01715-9" TargetMode="External"/><Relationship Id="rId454" Type="http://schemas.openxmlformats.org/officeDocument/2006/relationships/hyperlink" Target="https://academic.oup.com/gbe/article/16/8/evae169/7727391?login=false" TargetMode="External"/><Relationship Id="rId211" Type="http://schemas.openxmlformats.org/officeDocument/2006/relationships/hyperlink" Target="https://doi.org/10.1038/s41467-023-42029-4" TargetMode="External"/><Relationship Id="rId332" Type="http://schemas.openxmlformats.org/officeDocument/2006/relationships/hyperlink" Target="https://www.nature.com/articles/s41588-024-01715-9" TargetMode="External"/><Relationship Id="rId453" Type="http://schemas.openxmlformats.org/officeDocument/2006/relationships/hyperlink" Target="https://doi.org/10.1093/gbe/evae169" TargetMode="External"/><Relationship Id="rId210" Type="http://schemas.openxmlformats.org/officeDocument/2006/relationships/hyperlink" Target="https://www.nature.com/articles/s41467-023-42029-4" TargetMode="External"/><Relationship Id="rId331" Type="http://schemas.openxmlformats.org/officeDocument/2006/relationships/hyperlink" Target="https://doi.org/10.1038/s41588-024-01715-9" TargetMode="External"/><Relationship Id="rId452" Type="http://schemas.openxmlformats.org/officeDocument/2006/relationships/hyperlink" Target="https://academic.oup.com/gbe/article/16/8/evae169/7727391?login=false" TargetMode="External"/><Relationship Id="rId370" Type="http://schemas.openxmlformats.org/officeDocument/2006/relationships/hyperlink" Target="https://www.nature.com/articles/s41588-024-01715-9" TargetMode="External"/><Relationship Id="rId129" Type="http://schemas.openxmlformats.org/officeDocument/2006/relationships/hyperlink" Target="https://doi.org/10.1038/s41586-023-06062-z" TargetMode="External"/><Relationship Id="rId128" Type="http://schemas.openxmlformats.org/officeDocument/2006/relationships/hyperlink" Target="https://www.nature.com/articles/s41586-023-06062-z" TargetMode="External"/><Relationship Id="rId249" Type="http://schemas.openxmlformats.org/officeDocument/2006/relationships/hyperlink" Target="https://doi.org/10.1038/s41467-023-42029-4" TargetMode="External"/><Relationship Id="rId127" Type="http://schemas.openxmlformats.org/officeDocument/2006/relationships/hyperlink" Target="https://doi.org/10.1038/s41586-023-06062-z" TargetMode="External"/><Relationship Id="rId248" Type="http://schemas.openxmlformats.org/officeDocument/2006/relationships/hyperlink" Target="https://www.nature.com/articles/s41467-023-42029-4" TargetMode="External"/><Relationship Id="rId369" Type="http://schemas.openxmlformats.org/officeDocument/2006/relationships/hyperlink" Target="https://doi.org/10.1038/s41588-024-01715-9" TargetMode="External"/><Relationship Id="rId126" Type="http://schemas.openxmlformats.org/officeDocument/2006/relationships/hyperlink" Target="https://www.nature.com/articles/s41586-023-06062-z" TargetMode="External"/><Relationship Id="rId247" Type="http://schemas.openxmlformats.org/officeDocument/2006/relationships/hyperlink" Target="https://doi.org/10.1038/s41467-023-42029-4" TargetMode="External"/><Relationship Id="rId368" Type="http://schemas.openxmlformats.org/officeDocument/2006/relationships/hyperlink" Target="https://www.nature.com/articles/s41588-024-01715-9" TargetMode="External"/><Relationship Id="rId121" Type="http://schemas.openxmlformats.org/officeDocument/2006/relationships/hyperlink" Target="https://doi.org/10.1038/s41586-023-06062-z" TargetMode="External"/><Relationship Id="rId242" Type="http://schemas.openxmlformats.org/officeDocument/2006/relationships/hyperlink" Target="https://www.nature.com/articles/s41467-023-42029-4" TargetMode="External"/><Relationship Id="rId363" Type="http://schemas.openxmlformats.org/officeDocument/2006/relationships/hyperlink" Target="https://doi.org/10.1038/s41588-024-01715-9" TargetMode="External"/><Relationship Id="rId120" Type="http://schemas.openxmlformats.org/officeDocument/2006/relationships/hyperlink" Target="https://www.nature.com/articles/s41586-023-06062-z" TargetMode="External"/><Relationship Id="rId241" Type="http://schemas.openxmlformats.org/officeDocument/2006/relationships/hyperlink" Target="https://doi.org/10.1038/s41467-023-42029-4" TargetMode="External"/><Relationship Id="rId362" Type="http://schemas.openxmlformats.org/officeDocument/2006/relationships/hyperlink" Target="https://www.nature.com/articles/s41588-024-01715-9" TargetMode="External"/><Relationship Id="rId240" Type="http://schemas.openxmlformats.org/officeDocument/2006/relationships/hyperlink" Target="https://www.nature.com/articles/s41467-023-42029-4" TargetMode="External"/><Relationship Id="rId361" Type="http://schemas.openxmlformats.org/officeDocument/2006/relationships/hyperlink" Target="https://doi.org/10.1038/s41588-024-01715-9" TargetMode="External"/><Relationship Id="rId360" Type="http://schemas.openxmlformats.org/officeDocument/2006/relationships/hyperlink" Target="https://www.nature.com/articles/s41588-024-01715-9" TargetMode="External"/><Relationship Id="rId125" Type="http://schemas.openxmlformats.org/officeDocument/2006/relationships/hyperlink" Target="https://doi.org/10.1038/s41586-023-06062-z" TargetMode="External"/><Relationship Id="rId246" Type="http://schemas.openxmlformats.org/officeDocument/2006/relationships/hyperlink" Target="https://www.nature.com/articles/s41467-023-42029-4" TargetMode="External"/><Relationship Id="rId367" Type="http://schemas.openxmlformats.org/officeDocument/2006/relationships/hyperlink" Target="https://doi.org/10.1038/s41588-024-01715-9" TargetMode="External"/><Relationship Id="rId124" Type="http://schemas.openxmlformats.org/officeDocument/2006/relationships/hyperlink" Target="https://www.nature.com/articles/s41586-023-06062-z" TargetMode="External"/><Relationship Id="rId245" Type="http://schemas.openxmlformats.org/officeDocument/2006/relationships/hyperlink" Target="https://doi.org/10.1038/s41467-023-42029-4" TargetMode="External"/><Relationship Id="rId366" Type="http://schemas.openxmlformats.org/officeDocument/2006/relationships/hyperlink" Target="https://www.nature.com/articles/s41588-024-01715-9" TargetMode="External"/><Relationship Id="rId123" Type="http://schemas.openxmlformats.org/officeDocument/2006/relationships/hyperlink" Target="https://doi.org/10.1038/s41586-023-06062-z" TargetMode="External"/><Relationship Id="rId244" Type="http://schemas.openxmlformats.org/officeDocument/2006/relationships/hyperlink" Target="https://www.nature.com/articles/s41467-023-42029-4" TargetMode="External"/><Relationship Id="rId365" Type="http://schemas.openxmlformats.org/officeDocument/2006/relationships/hyperlink" Target="https://doi.org/10.1038/s41588-024-01715-9" TargetMode="External"/><Relationship Id="rId122" Type="http://schemas.openxmlformats.org/officeDocument/2006/relationships/hyperlink" Target="https://www.nature.com/articles/s41586-023-06062-z" TargetMode="External"/><Relationship Id="rId243" Type="http://schemas.openxmlformats.org/officeDocument/2006/relationships/hyperlink" Target="https://doi.org/10.1038/s41467-023-42029-4" TargetMode="External"/><Relationship Id="rId364" Type="http://schemas.openxmlformats.org/officeDocument/2006/relationships/hyperlink" Target="https://www.nature.com/articles/s41588-024-01715-9" TargetMode="External"/><Relationship Id="rId95" Type="http://schemas.openxmlformats.org/officeDocument/2006/relationships/hyperlink" Target="https://doi.org/10.1038/s41586-023-06062-z" TargetMode="External"/><Relationship Id="rId94" Type="http://schemas.openxmlformats.org/officeDocument/2006/relationships/hyperlink" Target="https://www.nature.com/articles/s41586-023-06062-z" TargetMode="External"/><Relationship Id="rId97" Type="http://schemas.openxmlformats.org/officeDocument/2006/relationships/hyperlink" Target="https://doi.org/10.1038/s41586-023-06062-z" TargetMode="External"/><Relationship Id="rId96" Type="http://schemas.openxmlformats.org/officeDocument/2006/relationships/hyperlink" Target="https://www.nature.com/articles/s41586-023-06062-z" TargetMode="External"/><Relationship Id="rId99" Type="http://schemas.openxmlformats.org/officeDocument/2006/relationships/hyperlink" Target="https://doi.org/10.1038/s41586-023-06062-z" TargetMode="External"/><Relationship Id="rId98" Type="http://schemas.openxmlformats.org/officeDocument/2006/relationships/hyperlink" Target="https://www.nature.com/articles/s41586-023-06062-z" TargetMode="External"/><Relationship Id="rId91" Type="http://schemas.openxmlformats.org/officeDocument/2006/relationships/hyperlink" Target="https://doi.org/10.1038/s41586-023-06062-z" TargetMode="External"/><Relationship Id="rId90" Type="http://schemas.openxmlformats.org/officeDocument/2006/relationships/hyperlink" Target="https://www.nature.com/articles/s41586-023-06062-z" TargetMode="External"/><Relationship Id="rId93" Type="http://schemas.openxmlformats.org/officeDocument/2006/relationships/hyperlink" Target="https://doi.org/10.1038/s41586-023-06062-z" TargetMode="External"/><Relationship Id="rId92" Type="http://schemas.openxmlformats.org/officeDocument/2006/relationships/hyperlink" Target="https://www.nature.com/articles/s41586-023-06062-z" TargetMode="External"/><Relationship Id="rId118" Type="http://schemas.openxmlformats.org/officeDocument/2006/relationships/hyperlink" Target="https://www.nature.com/articles/s41586-023-06062-z" TargetMode="External"/><Relationship Id="rId239" Type="http://schemas.openxmlformats.org/officeDocument/2006/relationships/hyperlink" Target="https://doi.org/10.1038/s41467-023-42029-4" TargetMode="External"/><Relationship Id="rId117" Type="http://schemas.openxmlformats.org/officeDocument/2006/relationships/hyperlink" Target="https://doi.org/10.1038/s41586-023-06062-z" TargetMode="External"/><Relationship Id="rId238" Type="http://schemas.openxmlformats.org/officeDocument/2006/relationships/hyperlink" Target="https://www.nature.com/articles/s41467-023-42029-4" TargetMode="External"/><Relationship Id="rId359" Type="http://schemas.openxmlformats.org/officeDocument/2006/relationships/hyperlink" Target="https://doi.org/10.1038/s41588-024-01715-9" TargetMode="External"/><Relationship Id="rId116" Type="http://schemas.openxmlformats.org/officeDocument/2006/relationships/hyperlink" Target="https://www.nature.com/articles/s41586-023-06062-z" TargetMode="External"/><Relationship Id="rId237" Type="http://schemas.openxmlformats.org/officeDocument/2006/relationships/hyperlink" Target="https://doi.org/10.1038/s41467-023-42029-4" TargetMode="External"/><Relationship Id="rId358" Type="http://schemas.openxmlformats.org/officeDocument/2006/relationships/hyperlink" Target="https://www.nature.com/articles/s41588-024-01715-9" TargetMode="External"/><Relationship Id="rId115" Type="http://schemas.openxmlformats.org/officeDocument/2006/relationships/hyperlink" Target="https://doi.org/10.1038/s41586-023-06062-z" TargetMode="External"/><Relationship Id="rId236" Type="http://schemas.openxmlformats.org/officeDocument/2006/relationships/hyperlink" Target="https://www.nature.com/articles/s41467-023-42029-4" TargetMode="External"/><Relationship Id="rId357" Type="http://schemas.openxmlformats.org/officeDocument/2006/relationships/hyperlink" Target="https://doi.org/10.1038/s41588-024-01715-9" TargetMode="External"/><Relationship Id="rId119" Type="http://schemas.openxmlformats.org/officeDocument/2006/relationships/hyperlink" Target="https://doi.org/10.1038/s41586-023-06062-z" TargetMode="External"/><Relationship Id="rId110" Type="http://schemas.openxmlformats.org/officeDocument/2006/relationships/hyperlink" Target="https://www.nature.com/articles/s41586-023-06062-z" TargetMode="External"/><Relationship Id="rId231" Type="http://schemas.openxmlformats.org/officeDocument/2006/relationships/hyperlink" Target="https://doi.org/10.1038/s41467-023-42029-4" TargetMode="External"/><Relationship Id="rId352" Type="http://schemas.openxmlformats.org/officeDocument/2006/relationships/hyperlink" Target="https://www.nature.com/articles/s41588-024-01715-9" TargetMode="External"/><Relationship Id="rId230" Type="http://schemas.openxmlformats.org/officeDocument/2006/relationships/hyperlink" Target="https://www.nature.com/articles/s41467-023-42029-4" TargetMode="External"/><Relationship Id="rId351" Type="http://schemas.openxmlformats.org/officeDocument/2006/relationships/hyperlink" Target="https://doi.org/10.1038/s41588-024-01715-9" TargetMode="External"/><Relationship Id="rId350" Type="http://schemas.openxmlformats.org/officeDocument/2006/relationships/hyperlink" Target="https://www.nature.com/articles/s41588-024-01715-9" TargetMode="External"/><Relationship Id="rId114" Type="http://schemas.openxmlformats.org/officeDocument/2006/relationships/hyperlink" Target="https://www.nature.com/articles/s41586-023-06062-z" TargetMode="External"/><Relationship Id="rId235" Type="http://schemas.openxmlformats.org/officeDocument/2006/relationships/hyperlink" Target="https://doi.org/10.1038/s41467-023-42029-4" TargetMode="External"/><Relationship Id="rId356" Type="http://schemas.openxmlformats.org/officeDocument/2006/relationships/hyperlink" Target="https://www.nature.com/articles/s41588-024-01715-9" TargetMode="External"/><Relationship Id="rId113" Type="http://schemas.openxmlformats.org/officeDocument/2006/relationships/hyperlink" Target="https://doi.org/10.1038/s41586-023-06062-z" TargetMode="External"/><Relationship Id="rId234" Type="http://schemas.openxmlformats.org/officeDocument/2006/relationships/hyperlink" Target="https://www.nature.com/articles/s41467-023-42029-4" TargetMode="External"/><Relationship Id="rId355" Type="http://schemas.openxmlformats.org/officeDocument/2006/relationships/hyperlink" Target="https://doi.org/10.1038/s41588-024-01715-9" TargetMode="External"/><Relationship Id="rId112" Type="http://schemas.openxmlformats.org/officeDocument/2006/relationships/hyperlink" Target="https://www.nature.com/articles/s41586-023-06062-z" TargetMode="External"/><Relationship Id="rId233" Type="http://schemas.openxmlformats.org/officeDocument/2006/relationships/hyperlink" Target="https://doi.org/10.1038/s41467-023-42029-4" TargetMode="External"/><Relationship Id="rId354" Type="http://schemas.openxmlformats.org/officeDocument/2006/relationships/hyperlink" Target="https://www.nature.com/articles/s41588-024-01715-9" TargetMode="External"/><Relationship Id="rId111" Type="http://schemas.openxmlformats.org/officeDocument/2006/relationships/hyperlink" Target="https://doi.org/10.1038/s41586-023-06062-z" TargetMode="External"/><Relationship Id="rId232" Type="http://schemas.openxmlformats.org/officeDocument/2006/relationships/hyperlink" Target="https://www.nature.com/articles/s41467-023-42029-4" TargetMode="External"/><Relationship Id="rId353" Type="http://schemas.openxmlformats.org/officeDocument/2006/relationships/hyperlink" Target="https://doi.org/10.1038/s41588-024-01715-9" TargetMode="External"/><Relationship Id="rId305" Type="http://schemas.openxmlformats.org/officeDocument/2006/relationships/hyperlink" Target="https://doi.org/10.1038/s41588-024-01715-9" TargetMode="External"/><Relationship Id="rId426" Type="http://schemas.openxmlformats.org/officeDocument/2006/relationships/hyperlink" Target="https://genomebiology.biomedcentral.com/articles/10.1186/s13059-024-03388-3" TargetMode="External"/><Relationship Id="rId304" Type="http://schemas.openxmlformats.org/officeDocument/2006/relationships/hyperlink" Target="https://www.nature.com/articles/s41588-024-01715-9" TargetMode="External"/><Relationship Id="rId425" Type="http://schemas.openxmlformats.org/officeDocument/2006/relationships/hyperlink" Target="https://genomebiology.biomedcentral.com/articles/10.1186/s13059-024-03388-3" TargetMode="External"/><Relationship Id="rId303" Type="http://schemas.openxmlformats.org/officeDocument/2006/relationships/hyperlink" Target="https://doi.org/10.1038/s41588-024-01715-9" TargetMode="External"/><Relationship Id="rId424" Type="http://schemas.openxmlformats.org/officeDocument/2006/relationships/hyperlink" Target="https://www.biorxiv.org/content/10.1101/2024.05.30.596703v1" TargetMode="External"/><Relationship Id="rId302" Type="http://schemas.openxmlformats.org/officeDocument/2006/relationships/hyperlink" Target="https://www.nature.com/articles/s41588-024-01715-9" TargetMode="External"/><Relationship Id="rId423" Type="http://schemas.openxmlformats.org/officeDocument/2006/relationships/hyperlink" Target="https://www.biorxiv.org/content/10.1101/2024.05.30.596703v1" TargetMode="External"/><Relationship Id="rId309" Type="http://schemas.openxmlformats.org/officeDocument/2006/relationships/hyperlink" Target="https://doi.org/10.1038/s41588-024-01715-9" TargetMode="External"/><Relationship Id="rId308" Type="http://schemas.openxmlformats.org/officeDocument/2006/relationships/hyperlink" Target="https://www.nature.com/articles/s41588-024-01715-9" TargetMode="External"/><Relationship Id="rId429" Type="http://schemas.openxmlformats.org/officeDocument/2006/relationships/hyperlink" Target="https://genomebiology.biomedcentral.com/articles/10.1186/s13059-024-03388-3" TargetMode="External"/><Relationship Id="rId307" Type="http://schemas.openxmlformats.org/officeDocument/2006/relationships/hyperlink" Target="https://doi.org/10.1038/s41588-024-01715-9" TargetMode="External"/><Relationship Id="rId428" Type="http://schemas.openxmlformats.org/officeDocument/2006/relationships/hyperlink" Target="https://genomebiology.biomedcentral.com/articles/10.1186/s13059-024-03388-3" TargetMode="External"/><Relationship Id="rId306" Type="http://schemas.openxmlformats.org/officeDocument/2006/relationships/hyperlink" Target="https://www.nature.com/articles/s41588-024-01715-9" TargetMode="External"/><Relationship Id="rId427" Type="http://schemas.openxmlformats.org/officeDocument/2006/relationships/hyperlink" Target="https://genomebiology.biomedcentral.com/articles/10.1186/s13059-024-03388-3" TargetMode="External"/><Relationship Id="rId301" Type="http://schemas.openxmlformats.org/officeDocument/2006/relationships/hyperlink" Target="https://doi.org/10.1038/s41588-024-01715-9" TargetMode="External"/><Relationship Id="rId422" Type="http://schemas.openxmlformats.org/officeDocument/2006/relationships/hyperlink" Target="https://www.biorxiv.org/content/10.1101/2024.05.30.596703v1" TargetMode="External"/><Relationship Id="rId300" Type="http://schemas.openxmlformats.org/officeDocument/2006/relationships/hyperlink" Target="https://www.nature.com/articles/s41588-024-01715-9" TargetMode="External"/><Relationship Id="rId421" Type="http://schemas.openxmlformats.org/officeDocument/2006/relationships/hyperlink" Target="https://www.biorxiv.org/content/10.1101/2024.05.30.596703v1" TargetMode="External"/><Relationship Id="rId420" Type="http://schemas.openxmlformats.org/officeDocument/2006/relationships/hyperlink" Target="https://www.biorxiv.org/content/10.1101/2024.05.30.596703v1" TargetMode="External"/><Relationship Id="rId415" Type="http://schemas.openxmlformats.org/officeDocument/2006/relationships/hyperlink" Target="https://www.biorxiv.org/content/10.1101/2024.05.30.596703v1" TargetMode="External"/><Relationship Id="rId414" Type="http://schemas.openxmlformats.org/officeDocument/2006/relationships/hyperlink" Target="https://www.biorxiv.org/content/10.1101/2024.05.30.596703v1" TargetMode="External"/><Relationship Id="rId413" Type="http://schemas.openxmlformats.org/officeDocument/2006/relationships/hyperlink" Target="https://www.biorxiv.org/content/10.1101/2024.05.30.596703v1" TargetMode="External"/><Relationship Id="rId412" Type="http://schemas.openxmlformats.org/officeDocument/2006/relationships/hyperlink" Target="https://www.biorxiv.org/content/10.1101/2024.05.30.596703v1" TargetMode="External"/><Relationship Id="rId419" Type="http://schemas.openxmlformats.org/officeDocument/2006/relationships/hyperlink" Target="https://www.biorxiv.org/content/10.1101/2024.05.30.596703v1" TargetMode="External"/><Relationship Id="rId418" Type="http://schemas.openxmlformats.org/officeDocument/2006/relationships/hyperlink" Target="https://www.biorxiv.org/content/10.1101/2024.05.30.596703v1" TargetMode="External"/><Relationship Id="rId417" Type="http://schemas.openxmlformats.org/officeDocument/2006/relationships/hyperlink" Target="https://www.biorxiv.org/content/10.1101/2024.05.30.596703v1" TargetMode="External"/><Relationship Id="rId416" Type="http://schemas.openxmlformats.org/officeDocument/2006/relationships/hyperlink" Target="https://www.biorxiv.org/content/10.1101/2024.05.30.596703v1" TargetMode="External"/><Relationship Id="rId411" Type="http://schemas.openxmlformats.org/officeDocument/2006/relationships/hyperlink" Target="https://www.biorxiv.org/content/10.1101/2024.05.30.596703v1" TargetMode="External"/><Relationship Id="rId410" Type="http://schemas.openxmlformats.org/officeDocument/2006/relationships/hyperlink" Target="https://www.biorxiv.org/content/10.1101/2024.05.30.596703v1" TargetMode="External"/><Relationship Id="rId206" Type="http://schemas.openxmlformats.org/officeDocument/2006/relationships/hyperlink" Target="https://www.nature.com/articles/s41467-023-42029-4" TargetMode="External"/><Relationship Id="rId327" Type="http://schemas.openxmlformats.org/officeDocument/2006/relationships/hyperlink" Target="https://doi.org/10.1038/s41588-024-01715-9" TargetMode="External"/><Relationship Id="rId448" Type="http://schemas.openxmlformats.org/officeDocument/2006/relationships/hyperlink" Target="https://academic.oup.com/gbe/article/16/8/evae169/7727391?login=false" TargetMode="External"/><Relationship Id="rId205" Type="http://schemas.openxmlformats.org/officeDocument/2006/relationships/hyperlink" Target="https://doi.org/10.1038/s41467-023-42029-4" TargetMode="External"/><Relationship Id="rId326" Type="http://schemas.openxmlformats.org/officeDocument/2006/relationships/hyperlink" Target="https://www.nature.com/articles/s41588-024-01715-9" TargetMode="External"/><Relationship Id="rId447" Type="http://schemas.openxmlformats.org/officeDocument/2006/relationships/hyperlink" Target="https://doi.org/10.1093/gbe/evae169" TargetMode="External"/><Relationship Id="rId204" Type="http://schemas.openxmlformats.org/officeDocument/2006/relationships/hyperlink" Target="https://www.nature.com/articles/s41467-023-42029-4" TargetMode="External"/><Relationship Id="rId325" Type="http://schemas.openxmlformats.org/officeDocument/2006/relationships/hyperlink" Target="https://doi.org/10.1038/s41588-024-01715-9" TargetMode="External"/><Relationship Id="rId446" Type="http://schemas.openxmlformats.org/officeDocument/2006/relationships/hyperlink" Target="https://academic.oup.com/gbe/article/16/8/evae169/7727391?login=false" TargetMode="External"/><Relationship Id="rId203" Type="http://schemas.openxmlformats.org/officeDocument/2006/relationships/hyperlink" Target="https://doi.org/10.1038/s41467-023-42029-4" TargetMode="External"/><Relationship Id="rId324" Type="http://schemas.openxmlformats.org/officeDocument/2006/relationships/hyperlink" Target="https://www.nature.com/articles/s41588-024-01715-9" TargetMode="External"/><Relationship Id="rId445" Type="http://schemas.openxmlformats.org/officeDocument/2006/relationships/hyperlink" Target="https://doi.org/10.1093/gbe/evae169" TargetMode="External"/><Relationship Id="rId209" Type="http://schemas.openxmlformats.org/officeDocument/2006/relationships/hyperlink" Target="https://doi.org/10.1038/s41467-023-42029-4" TargetMode="External"/><Relationship Id="rId208" Type="http://schemas.openxmlformats.org/officeDocument/2006/relationships/hyperlink" Target="https://www.nature.com/articles/s41467-023-42029-4" TargetMode="External"/><Relationship Id="rId329" Type="http://schemas.openxmlformats.org/officeDocument/2006/relationships/hyperlink" Target="https://doi.org/10.1038/s41588-024-01715-9" TargetMode="External"/><Relationship Id="rId207" Type="http://schemas.openxmlformats.org/officeDocument/2006/relationships/hyperlink" Target="https://doi.org/10.1038/s41467-023-42029-4" TargetMode="External"/><Relationship Id="rId328" Type="http://schemas.openxmlformats.org/officeDocument/2006/relationships/hyperlink" Target="https://www.nature.com/articles/s41588-024-01715-9" TargetMode="External"/><Relationship Id="rId449" Type="http://schemas.openxmlformats.org/officeDocument/2006/relationships/hyperlink" Target="https://doi.org/10.1093/gbe/evae169" TargetMode="External"/><Relationship Id="rId440" Type="http://schemas.openxmlformats.org/officeDocument/2006/relationships/hyperlink" Target="https://academic.oup.com/gbe/article/16/8/evae169/7727391?login=false" TargetMode="External"/><Relationship Id="rId202" Type="http://schemas.openxmlformats.org/officeDocument/2006/relationships/hyperlink" Target="https://www.nature.com/articles/s41467-023-42029-4" TargetMode="External"/><Relationship Id="rId323" Type="http://schemas.openxmlformats.org/officeDocument/2006/relationships/hyperlink" Target="https://doi.org/10.1038/s41588-024-01715-9" TargetMode="External"/><Relationship Id="rId444" Type="http://schemas.openxmlformats.org/officeDocument/2006/relationships/hyperlink" Target="https://academic.oup.com/gbe/article/16/8/evae169/7727391?login=false" TargetMode="External"/><Relationship Id="rId201" Type="http://schemas.openxmlformats.org/officeDocument/2006/relationships/hyperlink" Target="https://doi.org/10.1038/s41467-023-42029-4" TargetMode="External"/><Relationship Id="rId322" Type="http://schemas.openxmlformats.org/officeDocument/2006/relationships/hyperlink" Target="https://www.nature.com/articles/s41588-024-01715-9" TargetMode="External"/><Relationship Id="rId443" Type="http://schemas.openxmlformats.org/officeDocument/2006/relationships/hyperlink" Target="https://doi.org/10.1093/gbe/evae169" TargetMode="External"/><Relationship Id="rId200" Type="http://schemas.openxmlformats.org/officeDocument/2006/relationships/hyperlink" Target="https://www.nature.com/articles/s41467-023-42029-4" TargetMode="External"/><Relationship Id="rId321" Type="http://schemas.openxmlformats.org/officeDocument/2006/relationships/hyperlink" Target="https://doi.org/10.1038/s41588-024-01715-9" TargetMode="External"/><Relationship Id="rId442" Type="http://schemas.openxmlformats.org/officeDocument/2006/relationships/hyperlink" Target="https://academic.oup.com/gbe/article/16/8/evae169/7727391?login=false" TargetMode="External"/><Relationship Id="rId320" Type="http://schemas.openxmlformats.org/officeDocument/2006/relationships/hyperlink" Target="https://www.nature.com/articles/s41588-024-01715-9" TargetMode="External"/><Relationship Id="rId441" Type="http://schemas.openxmlformats.org/officeDocument/2006/relationships/hyperlink" Target="https://doi.org/10.1093/gbe/evae169" TargetMode="External"/><Relationship Id="rId316" Type="http://schemas.openxmlformats.org/officeDocument/2006/relationships/hyperlink" Target="https://www.nature.com/articles/s41588-024-01715-9" TargetMode="External"/><Relationship Id="rId437" Type="http://schemas.openxmlformats.org/officeDocument/2006/relationships/hyperlink" Target="https://doi.org/10.1093/plcell/koad296" TargetMode="External"/><Relationship Id="rId315" Type="http://schemas.openxmlformats.org/officeDocument/2006/relationships/hyperlink" Target="https://doi.org/10.1038/s41588-024-01715-9" TargetMode="External"/><Relationship Id="rId436" Type="http://schemas.openxmlformats.org/officeDocument/2006/relationships/hyperlink" Target="https://www.biorxiv.org/content/10.1101/2025.01.04.631303v1" TargetMode="External"/><Relationship Id="rId314" Type="http://schemas.openxmlformats.org/officeDocument/2006/relationships/hyperlink" Target="https://www.nature.com/articles/s41588-024-01715-9" TargetMode="External"/><Relationship Id="rId435" Type="http://schemas.openxmlformats.org/officeDocument/2006/relationships/hyperlink" Target="https://www.biorxiv.org/content/10.1101/2024.09.02.610789v1" TargetMode="External"/><Relationship Id="rId313" Type="http://schemas.openxmlformats.org/officeDocument/2006/relationships/hyperlink" Target="https://doi.org/10.1038/s41588-024-01715-9" TargetMode="External"/><Relationship Id="rId434" Type="http://schemas.openxmlformats.org/officeDocument/2006/relationships/hyperlink" Target="https://www.biorxiv.org/content/10.1101/2024.09.02.610789v1" TargetMode="External"/><Relationship Id="rId319" Type="http://schemas.openxmlformats.org/officeDocument/2006/relationships/hyperlink" Target="https://doi.org/10.1038/s41588-024-01715-9" TargetMode="External"/><Relationship Id="rId318" Type="http://schemas.openxmlformats.org/officeDocument/2006/relationships/hyperlink" Target="https://www.nature.com/articles/s41588-024-01715-9" TargetMode="External"/><Relationship Id="rId439" Type="http://schemas.openxmlformats.org/officeDocument/2006/relationships/hyperlink" Target="https://doi.org/10.1093/gbe/evae169" TargetMode="External"/><Relationship Id="rId317" Type="http://schemas.openxmlformats.org/officeDocument/2006/relationships/hyperlink" Target="https://doi.org/10.1038/s41588-024-01715-9" TargetMode="External"/><Relationship Id="rId438" Type="http://schemas.openxmlformats.org/officeDocument/2006/relationships/hyperlink" Target="https://academic.oup.com/plcell/article-abstract/36/4/840/7456361?redirectedFrom=fulltext&amp;login=false" TargetMode="External"/><Relationship Id="rId312" Type="http://schemas.openxmlformats.org/officeDocument/2006/relationships/hyperlink" Target="https://www.nature.com/articles/s41588-024-01715-9" TargetMode="External"/><Relationship Id="rId433" Type="http://schemas.openxmlformats.org/officeDocument/2006/relationships/hyperlink" Target="https://www.biorxiv.org/content/10.1101/2024.09.02.610789v1" TargetMode="External"/><Relationship Id="rId311" Type="http://schemas.openxmlformats.org/officeDocument/2006/relationships/hyperlink" Target="https://doi.org/10.1038/s41588-024-01715-9" TargetMode="External"/><Relationship Id="rId432" Type="http://schemas.openxmlformats.org/officeDocument/2006/relationships/hyperlink" Target="https://www.biorxiv.org/content/10.1101/2024.09.02.610789v1" TargetMode="External"/><Relationship Id="rId310" Type="http://schemas.openxmlformats.org/officeDocument/2006/relationships/hyperlink" Target="https://www.nature.com/articles/s41588-024-01715-9" TargetMode="External"/><Relationship Id="rId431" Type="http://schemas.openxmlformats.org/officeDocument/2006/relationships/hyperlink" Target="https://www.biorxiv.org/content/10.1101/2024.09.02.610789v1" TargetMode="External"/><Relationship Id="rId430" Type="http://schemas.openxmlformats.org/officeDocument/2006/relationships/hyperlink" Target="https://genomebiology.biomedcentral.com/articles/10.1186/s13059-024-03388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13"/>
    <col customWidth="1" min="3" max="3" width="16.13"/>
    <col customWidth="1" min="10" max="10" width="32.13"/>
    <col customWidth="1" min="13" max="13" width="20.38"/>
    <col customWidth="1" min="14" max="14" width="16.75"/>
    <col customWidth="1" min="20" max="20" width="23.0"/>
    <col customWidth="1" min="21" max="21" width="24.25"/>
    <col customWidth="1" min="22" max="22" width="21.63"/>
    <col customWidth="1" min="23" max="23" width="19.0"/>
    <col customWidth="1" min="26" max="26" width="16.88"/>
    <col customWidth="1" min="28" max="28" width="19.0"/>
  </cols>
  <sheetData>
    <row r="1">
      <c r="A1" s="1" t="str">
        <f>IFERROR(__xludf.DUMMYFUNCTION("IMPORTRANGE(""https://docs.google.com/spreadsheets/d/1aDHR_34cRQ8NVUfal33sRlJmJhPiwpOTdX5qf5KluZg/edit?gid=0#gid=0"", ""A1:AB431"")"),"Assembly_ID")</f>
        <v>Assembly_ID</v>
      </c>
      <c r="B1" s="2" t="str">
        <f>IFERROR(__xludf.DUMMYFUNCTION("""COMPUTED_VALUE"""),"Accession_Name")</f>
        <v>Accession_Name</v>
      </c>
      <c r="C1" s="2" t="str">
        <f>IFERROR(__xludf.DUMMYFUNCTION("""COMPUTED_VALUE"""),"Accession_ID")</f>
        <v>Accession_ID</v>
      </c>
      <c r="D1" s="2" t="str">
        <f>IFERROR(__xludf.DUMMYFUNCTION("""COMPUTED_VALUE"""),"Accession_alias")</f>
        <v>Accession_alias</v>
      </c>
      <c r="E1" s="2" t="str">
        <f>IFERROR(__xludf.DUMMYFUNCTION("""COMPUTED_VALUE"""),"Original_Assembly_ID")</f>
        <v>Original_Assembly_ID</v>
      </c>
      <c r="F1" s="2" t="str">
        <f>IFERROR(__xludf.DUMMYFUNCTION("""COMPUTED_VALUE"""),"Version")</f>
        <v>Version</v>
      </c>
      <c r="G1" s="2" t="str">
        <f>IFERROR(__xludf.DUMMYFUNCTION("""COMPUTED_VALUE"""),"QC_pipeline")</f>
        <v>QC_pipeline</v>
      </c>
      <c r="H1" s="2" t="str">
        <f>IFERROR(__xludf.DUMMYFUNCTION("""COMPUTED_VALUE"""),"Final_assembly")</f>
        <v>Final_assembly</v>
      </c>
      <c r="I1" s="2" t="str">
        <f>IFERROR(__xludf.DUMMYFUNCTION("""COMPUTED_VALUE"""),"TMP_comments")</f>
        <v>TMP_comments</v>
      </c>
      <c r="J1" s="2" t="str">
        <f>IFERROR(__xludf.DUMMYFUNCTION("""COMPUTED_VALUE"""),"CSnumber")</f>
        <v>CSnumber</v>
      </c>
      <c r="K1" s="2" t="str">
        <f>IFERROR(__xludf.DUMMYFUNCTION("""COMPUTED_VALUE"""),"Latitude")</f>
        <v>Latitude</v>
      </c>
      <c r="L1" s="2" t="str">
        <f>IFERROR(__xludf.DUMMYFUNCTION("""COMPUTED_VALUE"""),"Longitude")</f>
        <v>Longitude</v>
      </c>
      <c r="M1" s="2" t="str">
        <f>IFERROR(__xludf.DUMMYFUNCTION("""COMPUTED_VALUE"""),"Altitude")</f>
        <v>Altitude</v>
      </c>
      <c r="N1" s="2" t="str">
        <f>IFERROR(__xludf.DUMMYFUNCTION("""COMPUTED_VALUE"""),"Gaps")</f>
        <v>Gaps</v>
      </c>
      <c r="O1" s="2" t="str">
        <f>IFERROR(__xludf.DUMMYFUNCTION("""COMPUTED_VALUE"""),"Sum")</f>
        <v>Sum</v>
      </c>
      <c r="P1" s="2" t="str">
        <f>IFERROR(__xludf.DUMMYFUNCTION("""COMPUTED_VALUE"""),"Largest")</f>
        <v>Largest</v>
      </c>
      <c r="Q1" s="2" t="str">
        <f>IFERROR(__xludf.DUMMYFUNCTION("""COMPUTED_VALUE"""),"Pangenome_reference")</f>
        <v>Pangenome_reference</v>
      </c>
      <c r="R1" s="2" t="str">
        <f>IFERROR(__xludf.DUMMYFUNCTION("""COMPUTED_VALUE"""),"Primary_Sequencing_Technology")</f>
        <v>Primary_Sequencing_Technology</v>
      </c>
      <c r="S1" s="2" t="str">
        <f>IFERROR(__xludf.DUMMYFUNCTION("""COMPUTED_VALUE"""),"Assembler")</f>
        <v>Assembler</v>
      </c>
      <c r="T1" s="3" t="str">
        <f>IFERROR(__xludf.DUMMYFUNCTION("""COMPUTED_VALUE"""),"Individual_or_pool")</f>
        <v>Individual_or_pool</v>
      </c>
      <c r="U1" s="3" t="str">
        <f>IFERROR(__xludf.DUMMYFUNCTION("""COMPUTED_VALUE"""),"Latest_released_Year")</f>
        <v>Latest_released_Year</v>
      </c>
      <c r="V1" s="3" t="str">
        <f>IFERROR(__xludf.DUMMYFUNCTION("""COMPUTED_VALUE"""),"Published")</f>
        <v>Published</v>
      </c>
      <c r="W1" s="3" t="str">
        <f>IFERROR(__xludf.DUMMYFUNCTION("""COMPUTED_VALUE"""),"Publication_First_author")</f>
        <v>Publication_First_author</v>
      </c>
      <c r="X1" s="2" t="str">
        <f>IFERROR(__xludf.DUMMYFUNCTION("""COMPUTED_VALUE"""),"Publication_year")</f>
        <v>Publication_year</v>
      </c>
      <c r="Y1" s="2" t="str">
        <f>IFERROR(__xludf.DUMMYFUNCTION("""COMPUTED_VALUE"""),"Publication_Journal")</f>
        <v>Publication_Journal</v>
      </c>
      <c r="Z1" s="4" t="str">
        <f>IFERROR(__xludf.DUMMYFUNCTION("""COMPUTED_VALUE"""),"Publication_DOI")</f>
        <v>Publication_DOI</v>
      </c>
      <c r="AA1" s="2" t="str">
        <f>IFERROR(__xludf.DUMMYFUNCTION("""COMPUTED_VALUE"""),"Publication_URL")</f>
        <v>Publication_URL</v>
      </c>
      <c r="AB1" s="2" t="str">
        <f>IFERROR(__xludf.DUMMYFUNCTION("""COMPUTED_VALUE"""),"Best_unique_assembly")</f>
        <v>Best_unique_assembly</v>
      </c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5">
        <f>IFERROR(__xludf.DUMMYFUNCTION("""COMPUTED_VALUE"""),100000.0)</f>
        <v>100000</v>
      </c>
      <c r="B2" s="5" t="str">
        <f>IFERROR(__xludf.DUMMYFUNCTION("""COMPUTED_VALUE"""),"Col-0")</f>
        <v>Col-0</v>
      </c>
      <c r="C2" s="5">
        <f>IFERROR(__xludf.DUMMYFUNCTION("""COMPUTED_VALUE"""),6909.0)</f>
        <v>6909</v>
      </c>
      <c r="D2" s="5" t="str">
        <f>IFERROR(__xludf.DUMMYFUNCTION("""COMPUTED_VALUE"""),"TAIR10")</f>
        <v>TAIR10</v>
      </c>
      <c r="E2" s="5"/>
      <c r="F2" s="5">
        <f>IFERROR(__xludf.DUMMYFUNCTION("""COMPUTED_VALUE"""),1.0)</f>
        <v>1</v>
      </c>
      <c r="G2" s="5"/>
      <c r="H2" s="5" t="b">
        <f>IFERROR(__xludf.DUMMYFUNCTION("""COMPUTED_VALUE"""),FALSE)</f>
        <v>0</v>
      </c>
      <c r="I2" s="5"/>
      <c r="J2" s="5"/>
      <c r="K2" s="5"/>
      <c r="L2" s="5"/>
      <c r="M2" s="5"/>
      <c r="N2" s="5">
        <f>IFERROR(__xludf.DUMMYFUNCTION("""COMPUTED_VALUE"""),165.0)</f>
        <v>165</v>
      </c>
      <c r="O2" s="5"/>
      <c r="P2" s="5"/>
      <c r="Q2" s="5" t="str">
        <f>IFERROR(__xludf.DUMMYFUNCTION("""COMPUTED_VALUE"""),"no")</f>
        <v>no</v>
      </c>
      <c r="R2" s="5"/>
      <c r="S2" s="5"/>
      <c r="T2" s="6" t="str">
        <f>IFERROR(__xludf.DUMMYFUNCTION("""COMPUTED_VALUE"""),"Pool")</f>
        <v>Pool</v>
      </c>
      <c r="U2" s="6"/>
      <c r="V2" s="6" t="str">
        <f>IFERROR(__xludf.DUMMYFUNCTION("""COMPUTED_VALUE"""),"yes")</f>
        <v>yes</v>
      </c>
      <c r="W2" s="6"/>
      <c r="X2" s="5"/>
      <c r="Y2" s="5"/>
      <c r="Z2" s="5"/>
      <c r="AA2" s="5"/>
      <c r="AB2" s="5">
        <f>IFERROR(__xludf.DUMMYFUNCTION("""COMPUTED_VALUE"""),0.0)</f>
        <v>0</v>
      </c>
    </row>
    <row r="3">
      <c r="A3" s="5">
        <f>IFERROR(__xludf.DUMMYFUNCTION("""COMPUTED_VALUE"""),100001.0)</f>
        <v>100001</v>
      </c>
      <c r="B3" s="5" t="str">
        <f>IFERROR(__xludf.DUMMYFUNCTION("""COMPUTED_VALUE"""),"Col-0")</f>
        <v>Col-0</v>
      </c>
      <c r="C3" s="5">
        <f>IFERROR(__xludf.DUMMYFUNCTION("""COMPUTED_VALUE"""),6909.0)</f>
        <v>6909</v>
      </c>
      <c r="D3" s="5" t="str">
        <f>IFERROR(__xludf.DUMMYFUNCTION("""COMPUTED_VALUE"""),"TAIR12 version 1")</f>
        <v>TAIR12 version 1</v>
      </c>
      <c r="E3" s="5">
        <f>IFERROR(__xludf.DUMMYFUNCTION("""COMPUTED_VALUE"""),100001.0)</f>
        <v>100001</v>
      </c>
      <c r="F3" s="5">
        <f>IFERROR(__xludf.DUMMYFUNCTION("""COMPUTED_VALUE"""),1.0)</f>
        <v>1</v>
      </c>
      <c r="G3" s="5"/>
      <c r="H3" s="5" t="b">
        <f>IFERROR(__xludf.DUMMYFUNCTION("""COMPUTED_VALUE"""),FALSE)</f>
        <v>0</v>
      </c>
      <c r="I3" s="5"/>
      <c r="J3" s="5"/>
      <c r="K3" s="5"/>
      <c r="L3" s="5"/>
      <c r="M3" s="5"/>
      <c r="N3" s="5">
        <f>IFERROR(__xludf.DUMMYFUNCTION("""COMPUTED_VALUE"""),0.0)</f>
        <v>0</v>
      </c>
      <c r="O3" s="5"/>
      <c r="P3" s="5"/>
      <c r="Q3" s="5" t="str">
        <f>IFERROR(__xludf.DUMMYFUNCTION("""COMPUTED_VALUE"""),"no")</f>
        <v>no</v>
      </c>
      <c r="R3" s="5" t="str">
        <f>IFERROR(__xludf.DUMMYFUNCTION("""COMPUTED_VALUE"""),"HiFi")</f>
        <v>HiFi</v>
      </c>
      <c r="S3" s="5"/>
      <c r="T3" s="6" t="str">
        <f>IFERROR(__xludf.DUMMYFUNCTION("""COMPUTED_VALUE"""),"Pool")</f>
        <v>Pool</v>
      </c>
      <c r="U3" s="6">
        <f>IFERROR(__xludf.DUMMYFUNCTION("""COMPUTED_VALUE"""),2023.0)</f>
        <v>2023</v>
      </c>
      <c r="V3" s="6" t="str">
        <f>IFERROR(__xludf.DUMMYFUNCTION("""COMPUTED_VALUE"""),"no")</f>
        <v>no</v>
      </c>
      <c r="W3" s="6" t="str">
        <f>IFERROR(__xludf.DUMMYFUNCTION("""COMPUTED_VALUE"""),"TAIR")</f>
        <v>TAIR</v>
      </c>
      <c r="X3" s="5"/>
      <c r="Y3" s="5" t="str">
        <f>IFERROR(__xludf.DUMMYFUNCTION("""COMPUTED_VALUE"""),"unpublished")</f>
        <v>unpublished</v>
      </c>
      <c r="Z3" s="5"/>
      <c r="AA3" s="5"/>
      <c r="AB3" s="5">
        <f>IFERROR(__xludf.DUMMYFUNCTION("""COMPUTED_VALUE"""),0.0)</f>
        <v>0</v>
      </c>
    </row>
    <row r="4">
      <c r="A4" s="5">
        <f>IFERROR(__xludf.DUMMYFUNCTION("""COMPUTED_VALUE"""),100002.0)</f>
        <v>100002</v>
      </c>
      <c r="B4" s="5" t="str">
        <f>IFERROR(__xludf.DUMMYFUNCTION("""COMPUTED_VALUE"""),"Col-0")</f>
        <v>Col-0</v>
      </c>
      <c r="C4" s="5">
        <f>IFERROR(__xludf.DUMMYFUNCTION("""COMPUTED_VALUE"""),6909.0)</f>
        <v>6909</v>
      </c>
      <c r="D4" s="5" t="str">
        <f>IFERROR(__xludf.DUMMYFUNCTION("""COMPUTED_VALUE"""),"TAIR12 version 2")</f>
        <v>TAIR12 version 2</v>
      </c>
      <c r="E4" s="5">
        <f>IFERROR(__xludf.DUMMYFUNCTION("""COMPUTED_VALUE"""),100001.0)</f>
        <v>100001</v>
      </c>
      <c r="F4" s="5">
        <f>IFERROR(__xludf.DUMMYFUNCTION("""COMPUTED_VALUE"""),2.0)</f>
        <v>2</v>
      </c>
      <c r="G4" s="5"/>
      <c r="H4" s="5" t="b">
        <f>IFERROR(__xludf.DUMMYFUNCTION("""COMPUTED_VALUE"""),TRUE)</f>
        <v>1</v>
      </c>
      <c r="I4" s="5"/>
      <c r="J4" s="5"/>
      <c r="K4" s="5"/>
      <c r="L4" s="5"/>
      <c r="M4" s="5"/>
      <c r="N4" s="5">
        <f>IFERROR(__xludf.DUMMYFUNCTION("""COMPUTED_VALUE"""),0.0)</f>
        <v>0</v>
      </c>
      <c r="O4" s="5"/>
      <c r="P4" s="5"/>
      <c r="Q4" s="5" t="str">
        <f>IFERROR(__xludf.DUMMYFUNCTION("""COMPUTED_VALUE"""),"yes")</f>
        <v>yes</v>
      </c>
      <c r="R4" s="5" t="str">
        <f>IFERROR(__xludf.DUMMYFUNCTION("""COMPUTED_VALUE"""),"HiFi")</f>
        <v>HiFi</v>
      </c>
      <c r="S4" s="5"/>
      <c r="T4" s="6" t="str">
        <f>IFERROR(__xludf.DUMMYFUNCTION("""COMPUTED_VALUE"""),"Pool")</f>
        <v>Pool</v>
      </c>
      <c r="U4" s="6">
        <f>IFERROR(__xludf.DUMMYFUNCTION("""COMPUTED_VALUE"""),2023.0)</f>
        <v>2023</v>
      </c>
      <c r="V4" s="6" t="str">
        <f>IFERROR(__xludf.DUMMYFUNCTION("""COMPUTED_VALUE"""),"no")</f>
        <v>no</v>
      </c>
      <c r="W4" s="6" t="str">
        <f>IFERROR(__xludf.DUMMYFUNCTION("""COMPUTED_VALUE"""),"TAIR")</f>
        <v>TAIR</v>
      </c>
      <c r="X4" s="5"/>
      <c r="Y4" s="5" t="str">
        <f>IFERROR(__xludf.DUMMYFUNCTION("""COMPUTED_VALUE"""),"unpublished")</f>
        <v>unpublished</v>
      </c>
      <c r="Z4" s="5"/>
      <c r="AA4" s="5"/>
      <c r="AB4" s="5">
        <f>IFERROR(__xludf.DUMMYFUNCTION("""COMPUTED_VALUE"""),1.0)</f>
        <v>1</v>
      </c>
    </row>
    <row r="5">
      <c r="A5" s="5">
        <f>IFERROR(__xludf.DUMMYFUNCTION("""COMPUTED_VALUE"""),100003.0)</f>
        <v>100003</v>
      </c>
      <c r="B5" s="5" t="str">
        <f>IFERROR(__xludf.DUMMYFUNCTION("""COMPUTED_VALUE"""),"Ler-0")</f>
        <v>Ler-0</v>
      </c>
      <c r="C5" s="5">
        <f>IFERROR(__xludf.DUMMYFUNCTION("""COMPUTED_VALUE"""),7213.0)</f>
        <v>7213</v>
      </c>
      <c r="D5" s="5"/>
      <c r="E5" s="5"/>
      <c r="F5" s="5" t="str">
        <f>IFERROR(__xludf.DUMMYFUNCTION("""COMPUTED_VALUE"""),"NA")</f>
        <v>NA</v>
      </c>
      <c r="G5" s="5"/>
      <c r="H5" s="5" t="b">
        <f>IFERROR(__xludf.DUMMYFUNCTION("""COMPUTED_VALUE"""),FALSE)</f>
        <v>0</v>
      </c>
      <c r="I5" s="5" t="str">
        <f>IFERROR(__xludf.DUMMYFUNCTION("""COMPUTED_VALUE"""),"Not avaiable")</f>
        <v>Not avaiable</v>
      </c>
      <c r="J5" s="5"/>
      <c r="K5" s="5"/>
      <c r="L5" s="5"/>
      <c r="M5" s="5"/>
      <c r="N5" s="5"/>
      <c r="O5" s="5"/>
      <c r="P5" s="5"/>
      <c r="Q5" s="5" t="str">
        <f>IFERROR(__xludf.DUMMYFUNCTION("""COMPUTED_VALUE"""),"no")</f>
        <v>no</v>
      </c>
      <c r="R5" s="5" t="str">
        <f>IFERROR(__xludf.DUMMYFUNCTION("""COMPUTED_VALUE"""),"RS II")</f>
        <v>RS II</v>
      </c>
      <c r="S5" s="5"/>
      <c r="T5" s="6" t="str">
        <f>IFERROR(__xludf.DUMMYFUNCTION("""COMPUTED_VALUE"""),"NA")</f>
        <v>NA</v>
      </c>
      <c r="U5" s="6"/>
      <c r="V5" s="6" t="str">
        <f>IFERROR(__xludf.DUMMYFUNCTION("""COMPUTED_VALUE"""),"yes")</f>
        <v>yes</v>
      </c>
      <c r="W5" s="6" t="str">
        <f>IFERROR(__xludf.DUMMYFUNCTION("""COMPUTED_VALUE"""),"Berlin")</f>
        <v>Berlin</v>
      </c>
      <c r="X5" s="5">
        <f>IFERROR(__xludf.DUMMYFUNCTION("""COMPUTED_VALUE"""),2015.0)</f>
        <v>2015</v>
      </c>
      <c r="Y5" s="5" t="str">
        <f>IFERROR(__xludf.DUMMYFUNCTION("""COMPUTED_VALUE"""),"NatBiotechnol")</f>
        <v>NatBiotechnol</v>
      </c>
      <c r="Z5" s="7" t="str">
        <f>IFERROR(__xludf.DUMMYFUNCTION("""COMPUTED_VALUE"""),"10.1038/nbt.3238")</f>
        <v>10.1038/nbt.3238</v>
      </c>
      <c r="AA5" s="7" t="str">
        <f>IFERROR(__xludf.DUMMYFUNCTION("""COMPUTED_VALUE"""),"https://www.nature.com/articles/nbt.3238")</f>
        <v>https://www.nature.com/articles/nbt.3238</v>
      </c>
      <c r="AB5" s="5"/>
    </row>
    <row r="6">
      <c r="A6" s="5">
        <f>IFERROR(__xludf.DUMMYFUNCTION("""COMPUTED_VALUE"""),100004.0)</f>
        <v>100004</v>
      </c>
      <c r="B6" s="5" t="str">
        <f>IFERROR(__xludf.DUMMYFUNCTION("""COMPUTED_VALUE"""),"F1 (Col-0/Cvi-0)")</f>
        <v>F1 (Col-0/Cvi-0)</v>
      </c>
      <c r="C6" s="5" t="str">
        <f>IFERROR(__xludf.DUMMYFUNCTION("""COMPUTED_VALUE"""),"6909/6911")</f>
        <v>6909/6911</v>
      </c>
      <c r="D6" s="5"/>
      <c r="E6" s="5"/>
      <c r="F6" s="5" t="str">
        <f>IFERROR(__xludf.DUMMYFUNCTION("""COMPUTED_VALUE"""),"NA")</f>
        <v>NA</v>
      </c>
      <c r="G6" s="5"/>
      <c r="H6" s="5"/>
      <c r="I6" s="5"/>
      <c r="J6" s="5"/>
      <c r="K6" s="5"/>
      <c r="L6" s="5"/>
      <c r="M6" s="5"/>
      <c r="N6" s="5"/>
      <c r="O6" s="5"/>
      <c r="P6" s="5"/>
      <c r="Q6" s="5" t="str">
        <f>IFERROR(__xludf.DUMMYFUNCTION("""COMPUTED_VALUE"""),"no")</f>
        <v>no</v>
      </c>
      <c r="R6" s="5"/>
      <c r="S6" s="5"/>
      <c r="T6" s="6" t="str">
        <f>IFERROR(__xludf.DUMMYFUNCTION("""COMPUTED_VALUE"""),"NA")</f>
        <v>NA</v>
      </c>
      <c r="U6" s="6"/>
      <c r="V6" s="6" t="str">
        <f>IFERROR(__xludf.DUMMYFUNCTION("""COMPUTED_VALUE"""),"yes")</f>
        <v>yes</v>
      </c>
      <c r="W6" s="6" t="str">
        <f>IFERROR(__xludf.DUMMYFUNCTION("""COMPUTED_VALUE"""),"Chin")</f>
        <v>Chin</v>
      </c>
      <c r="X6" s="5">
        <f>IFERROR(__xludf.DUMMYFUNCTION("""COMPUTED_VALUE"""),2016.0)</f>
        <v>2016</v>
      </c>
      <c r="Y6" s="5" t="str">
        <f>IFERROR(__xludf.DUMMYFUNCTION("""COMPUTED_VALUE"""),"NatMethods")</f>
        <v>NatMethods</v>
      </c>
      <c r="Z6" s="7" t="str">
        <f>IFERROR(__xludf.DUMMYFUNCTION("""COMPUTED_VALUE"""),"10.1038/nmeth.4035")</f>
        <v>10.1038/nmeth.4035</v>
      </c>
      <c r="AA6" s="7" t="str">
        <f>IFERROR(__xludf.DUMMYFUNCTION("""COMPUTED_VALUE"""),"https://www.nature.com/articles/nmeth.4035")</f>
        <v>https://www.nature.com/articles/nmeth.4035</v>
      </c>
      <c r="AB6" s="5"/>
    </row>
    <row r="7">
      <c r="A7" s="5">
        <f>IFERROR(__xludf.DUMMYFUNCTION("""COMPUTED_VALUE"""),100005.0)</f>
        <v>100005</v>
      </c>
      <c r="B7" s="5" t="str">
        <f>IFERROR(__xludf.DUMMYFUNCTION("""COMPUTED_VALUE"""),"Ler-0")</f>
        <v>Ler-0</v>
      </c>
      <c r="C7" s="5">
        <f>IFERROR(__xludf.DUMMYFUNCTION("""COMPUTED_VALUE"""),7213.0)</f>
        <v>7213</v>
      </c>
      <c r="D7" s="5"/>
      <c r="E7" s="5"/>
      <c r="F7" s="5">
        <f>IFERROR(__xludf.DUMMYFUNCTION("""COMPUTED_VALUE"""),1.0)</f>
        <v>1</v>
      </c>
      <c r="G7" s="5"/>
      <c r="H7" s="5" t="b">
        <f>IFERROR(__xludf.DUMMYFUNCTION("""COMPUTED_VALUE"""),FALSE)</f>
        <v>0</v>
      </c>
      <c r="I7" s="5"/>
      <c r="J7" s="5"/>
      <c r="K7" s="5"/>
      <c r="L7" s="5"/>
      <c r="M7" s="5"/>
      <c r="N7" s="5">
        <f>IFERROR(__xludf.DUMMYFUNCTION("""COMPUTED_VALUE"""),425.0)</f>
        <v>425</v>
      </c>
      <c r="O7" s="5"/>
      <c r="P7" s="5"/>
      <c r="Q7" s="5" t="str">
        <f>IFERROR(__xludf.DUMMYFUNCTION("""COMPUTED_VALUE"""),"no")</f>
        <v>no</v>
      </c>
      <c r="R7" s="5" t="str">
        <f>IFERROR(__xludf.DUMMYFUNCTION("""COMPUTED_VALUE"""),"RS II")</f>
        <v>RS II</v>
      </c>
      <c r="S7" s="5"/>
      <c r="T7" s="6" t="str">
        <f>IFERROR(__xludf.DUMMYFUNCTION("""COMPUTED_VALUE"""),"Pool")</f>
        <v>Pool</v>
      </c>
      <c r="U7" s="6">
        <f>IFERROR(__xludf.DUMMYFUNCTION("""COMPUTED_VALUE"""),2016.0)</f>
        <v>2016</v>
      </c>
      <c r="V7" s="6" t="str">
        <f>IFERROR(__xludf.DUMMYFUNCTION("""COMPUTED_VALUE"""),"yes")</f>
        <v>yes</v>
      </c>
      <c r="W7" s="6" t="str">
        <f>IFERROR(__xludf.DUMMYFUNCTION("""COMPUTED_VALUE"""),"Zapata")</f>
        <v>Zapata</v>
      </c>
      <c r="X7" s="5">
        <f>IFERROR(__xludf.DUMMYFUNCTION("""COMPUTED_VALUE"""),2016.0)</f>
        <v>2016</v>
      </c>
      <c r="Y7" s="5" t="str">
        <f>IFERROR(__xludf.DUMMYFUNCTION("""COMPUTED_VALUE"""),"PNAS")</f>
        <v>PNAS</v>
      </c>
      <c r="Z7" s="7" t="str">
        <f>IFERROR(__xludf.DUMMYFUNCTION("""COMPUTED_VALUE"""),"10.1073/pnas.1607532113")</f>
        <v>10.1073/pnas.1607532113</v>
      </c>
      <c r="AA7" s="7" t="str">
        <f>IFERROR(__xludf.DUMMYFUNCTION("""COMPUTED_VALUE"""),"https://www.pnas.org/doi/full/10.1073/pnas.1607532113")</f>
        <v>https://www.pnas.org/doi/full/10.1073/pnas.1607532113</v>
      </c>
      <c r="AB7" s="5"/>
    </row>
    <row r="8">
      <c r="A8" s="5">
        <f>IFERROR(__xludf.DUMMYFUNCTION("""COMPUTED_VALUE"""),100006.0)</f>
        <v>100006</v>
      </c>
      <c r="B8" s="5" t="str">
        <f>IFERROR(__xludf.DUMMYFUNCTION("""COMPUTED_VALUE"""),"KBS-Mac-74")</f>
        <v>KBS-Mac-74</v>
      </c>
      <c r="C8" s="5">
        <f>IFERROR(__xludf.DUMMYFUNCTION("""COMPUTED_VALUE"""),1741.0)</f>
        <v>1741</v>
      </c>
      <c r="D8" s="5"/>
      <c r="E8" s="5"/>
      <c r="F8" s="5" t="str">
        <f>IFERROR(__xludf.DUMMYFUNCTION("""COMPUTED_VALUE"""),"NA")</f>
        <v>NA</v>
      </c>
      <c r="G8" s="5"/>
      <c r="H8" s="5" t="b">
        <f>IFERROR(__xludf.DUMMYFUNCTION("""COMPUTED_VALUE"""),FALSE)</f>
        <v>0</v>
      </c>
      <c r="I8" s="5" t="str">
        <f>IFERROR(__xludf.DUMMYFUNCTION("""COMPUTED_VALUE"""),"Not avaiable")</f>
        <v>Not avaiable</v>
      </c>
      <c r="J8" s="5"/>
      <c r="K8" s="5">
        <f>IFERROR(__xludf.DUMMYFUNCTION("""COMPUTED_VALUE"""),42.405)</f>
        <v>42.405</v>
      </c>
      <c r="L8" s="5">
        <f>IFERROR(__xludf.DUMMYFUNCTION("""COMPUTED_VALUE"""),-85.398)</f>
        <v>-85.398</v>
      </c>
      <c r="M8" s="5"/>
      <c r="N8" s="5"/>
      <c r="O8" s="5"/>
      <c r="P8" s="5"/>
      <c r="Q8" s="5" t="str">
        <f>IFERROR(__xludf.DUMMYFUNCTION("""COMPUTED_VALUE"""),"no")</f>
        <v>no</v>
      </c>
      <c r="R8" s="5" t="str">
        <f>IFERROR(__xludf.DUMMYFUNCTION("""COMPUTED_VALUE"""),"CLR")</f>
        <v>CLR</v>
      </c>
      <c r="S8" s="5"/>
      <c r="T8" s="6" t="str">
        <f>IFERROR(__xludf.DUMMYFUNCTION("""COMPUTED_VALUE"""),"NA")</f>
        <v>NA</v>
      </c>
      <c r="U8" s="6">
        <f>IFERROR(__xludf.DUMMYFUNCTION("""COMPUTED_VALUE"""),2018.0)</f>
        <v>2018</v>
      </c>
      <c r="V8" s="6" t="str">
        <f>IFERROR(__xludf.DUMMYFUNCTION("""COMPUTED_VALUE"""),"yes")</f>
        <v>yes</v>
      </c>
      <c r="W8" s="6" t="str">
        <f>IFERROR(__xludf.DUMMYFUNCTION("""COMPUTED_VALUE"""),"Michael")</f>
        <v>Michael</v>
      </c>
      <c r="X8" s="5">
        <f>IFERROR(__xludf.DUMMYFUNCTION("""COMPUTED_VALUE"""),2018.0)</f>
        <v>2018</v>
      </c>
      <c r="Y8" s="5" t="str">
        <f>IFERROR(__xludf.DUMMYFUNCTION("""COMPUTED_VALUE"""),"NatCommun")</f>
        <v>NatCommun</v>
      </c>
      <c r="Z8" s="7" t="str">
        <f>IFERROR(__xludf.DUMMYFUNCTION("""COMPUTED_VALUE"""),"10.1038/s41467-018-03016-2")</f>
        <v>10.1038/s41467-018-03016-2</v>
      </c>
      <c r="AA8" s="7" t="str">
        <f>IFERROR(__xludf.DUMMYFUNCTION("""COMPUTED_VALUE"""),"https://www.nature.com/articles/s41467-018-03016-2")</f>
        <v>https://www.nature.com/articles/s41467-018-03016-2</v>
      </c>
      <c r="AB8" s="5"/>
    </row>
    <row r="9">
      <c r="A9" s="5">
        <f>IFERROR(__xludf.DUMMYFUNCTION("""COMPUTED_VALUE"""),100007.0)</f>
        <v>100007</v>
      </c>
      <c r="B9" s="5" t="str">
        <f>IFERROR(__xludf.DUMMYFUNCTION("""COMPUTED_VALUE"""),"KBS-Mac-74")</f>
        <v>KBS-Mac-74</v>
      </c>
      <c r="C9" s="5">
        <f>IFERROR(__xludf.DUMMYFUNCTION("""COMPUTED_VALUE"""),1741.0)</f>
        <v>1741</v>
      </c>
      <c r="D9" s="5"/>
      <c r="E9" s="5"/>
      <c r="F9" s="5" t="str">
        <f>IFERROR(__xludf.DUMMYFUNCTION("""COMPUTED_VALUE"""),"NA")</f>
        <v>NA</v>
      </c>
      <c r="G9" s="5"/>
      <c r="H9" s="5" t="b">
        <f>IFERROR(__xludf.DUMMYFUNCTION("""COMPUTED_VALUE"""),FALSE)</f>
        <v>0</v>
      </c>
      <c r="I9" s="5" t="str">
        <f>IFERROR(__xludf.DUMMYFUNCTION("""COMPUTED_VALUE"""),"Not avaiable")</f>
        <v>Not avaiable</v>
      </c>
      <c r="J9" s="5"/>
      <c r="K9" s="5">
        <f>IFERROR(__xludf.DUMMYFUNCTION("""COMPUTED_VALUE"""),42.405)</f>
        <v>42.405</v>
      </c>
      <c r="L9" s="5">
        <f>IFERROR(__xludf.DUMMYFUNCTION("""COMPUTED_VALUE"""),-85.398)</f>
        <v>-85.398</v>
      </c>
      <c r="M9" s="5"/>
      <c r="N9" s="5"/>
      <c r="O9" s="5"/>
      <c r="P9" s="5"/>
      <c r="Q9" s="5" t="str">
        <f>IFERROR(__xludf.DUMMYFUNCTION("""COMPUTED_VALUE"""),"no")</f>
        <v>no</v>
      </c>
      <c r="R9" s="5" t="str">
        <f>IFERROR(__xludf.DUMMYFUNCTION("""COMPUTED_VALUE"""),"ONT")</f>
        <v>ONT</v>
      </c>
      <c r="S9" s="5" t="str">
        <f>IFERROR(__xludf.DUMMYFUNCTION("""COMPUTED_VALUE"""),"miniasm")</f>
        <v>miniasm</v>
      </c>
      <c r="T9" s="6" t="str">
        <f>IFERROR(__xludf.DUMMYFUNCTION("""COMPUTED_VALUE"""),"NA")</f>
        <v>NA</v>
      </c>
      <c r="U9" s="6">
        <f>IFERROR(__xludf.DUMMYFUNCTION("""COMPUTED_VALUE"""),2018.0)</f>
        <v>2018</v>
      </c>
      <c r="V9" s="6" t="str">
        <f>IFERROR(__xludf.DUMMYFUNCTION("""COMPUTED_VALUE"""),"yes")</f>
        <v>yes</v>
      </c>
      <c r="W9" s="6" t="str">
        <f>IFERROR(__xludf.DUMMYFUNCTION("""COMPUTED_VALUE"""),"Michael")</f>
        <v>Michael</v>
      </c>
      <c r="X9" s="5">
        <f>IFERROR(__xludf.DUMMYFUNCTION("""COMPUTED_VALUE"""),2018.0)</f>
        <v>2018</v>
      </c>
      <c r="Y9" s="5" t="str">
        <f>IFERROR(__xludf.DUMMYFUNCTION("""COMPUTED_VALUE"""),"NatCommun")</f>
        <v>NatCommun</v>
      </c>
      <c r="Z9" s="7" t="str">
        <f>IFERROR(__xludf.DUMMYFUNCTION("""COMPUTED_VALUE"""),"10.1038/s41467-018-03016-2")</f>
        <v>10.1038/s41467-018-03016-2</v>
      </c>
      <c r="AA9" s="7" t="str">
        <f>IFERROR(__xludf.DUMMYFUNCTION("""COMPUTED_VALUE"""),"https://www.nature.com/articles/s41467-018-03016-2")</f>
        <v>https://www.nature.com/articles/s41467-018-03016-2</v>
      </c>
      <c r="AB9" s="5"/>
    </row>
    <row r="10">
      <c r="A10" s="5">
        <f>IFERROR(__xludf.DUMMYFUNCTION("""COMPUTED_VALUE"""),100008.0)</f>
        <v>100008</v>
      </c>
      <c r="B10" s="5" t="str">
        <f>IFERROR(__xludf.DUMMYFUNCTION("""COMPUTED_VALUE"""),"Nd-1")</f>
        <v>Nd-1</v>
      </c>
      <c r="C10" s="5">
        <f>IFERROR(__xludf.DUMMYFUNCTION("""COMPUTED_VALUE"""),6942.0)</f>
        <v>6942</v>
      </c>
      <c r="D10" s="5"/>
      <c r="E10" s="5"/>
      <c r="F10" s="5">
        <f>IFERROR(__xludf.DUMMYFUNCTION("""COMPUTED_VALUE"""),1.0)</f>
        <v>1</v>
      </c>
      <c r="G10" s="5"/>
      <c r="H10" s="5"/>
      <c r="I10" s="5"/>
      <c r="J10" s="5"/>
      <c r="K10" s="5"/>
      <c r="L10" s="5"/>
      <c r="M10" s="5"/>
      <c r="N10" s="5">
        <f>IFERROR(__xludf.DUMMYFUNCTION("""COMPUTED_VALUE"""),64.0)</f>
        <v>64</v>
      </c>
      <c r="O10" s="5"/>
      <c r="P10" s="5"/>
      <c r="Q10" s="5" t="str">
        <f>IFERROR(__xludf.DUMMYFUNCTION("""COMPUTED_VALUE"""),"no")</f>
        <v>no</v>
      </c>
      <c r="R10" s="5" t="str">
        <f>IFERROR(__xludf.DUMMYFUNCTION("""COMPUTED_VALUE"""),"RS II")</f>
        <v>RS II</v>
      </c>
      <c r="S10" s="5" t="str">
        <f>IFERROR(__xludf.DUMMYFUNCTION("""COMPUTED_VALUE"""),"Canu_v1.4")</f>
        <v>Canu_v1.4</v>
      </c>
      <c r="T10" s="6" t="str">
        <f>IFERROR(__xludf.DUMMYFUNCTION("""COMPUTED_VALUE"""),"Pool")</f>
        <v>Pool</v>
      </c>
      <c r="U10" s="6">
        <f>IFERROR(__xludf.DUMMYFUNCTION("""COMPUTED_VALUE"""),2019.0)</f>
        <v>2019</v>
      </c>
      <c r="V10" s="6" t="str">
        <f>IFERROR(__xludf.DUMMYFUNCTION("""COMPUTED_VALUE"""),"yes")</f>
        <v>yes</v>
      </c>
      <c r="W10" s="6" t="str">
        <f>IFERROR(__xludf.DUMMYFUNCTION("""COMPUTED_VALUE"""),"Pucker")</f>
        <v>Pucker</v>
      </c>
      <c r="X10" s="5">
        <f>IFERROR(__xludf.DUMMYFUNCTION("""COMPUTED_VALUE"""),2019.0)</f>
        <v>2019</v>
      </c>
      <c r="Y10" s="5" t="str">
        <f>IFERROR(__xludf.DUMMYFUNCTION("""COMPUTED_VALUE"""),"PLoSOne")</f>
        <v>PLoSOne</v>
      </c>
      <c r="Z10" s="7" t="str">
        <f>IFERROR(__xludf.DUMMYFUNCTION("""COMPUTED_VALUE"""),"10.1371/journal.pone.0216233")</f>
        <v>10.1371/journal.pone.0216233</v>
      </c>
      <c r="AA10" s="7" t="str">
        <f>IFERROR(__xludf.DUMMYFUNCTION("""COMPUTED_VALUE"""),"https://journals.plos.org/plosone/article?id=10.1371/journal.pone.0216233")</f>
        <v>https://journals.plos.org/plosone/article?id=10.1371/journal.pone.0216233</v>
      </c>
      <c r="AB10" s="5"/>
    </row>
    <row r="11">
      <c r="A11" s="5">
        <f>IFERROR(__xludf.DUMMYFUNCTION("""COMPUTED_VALUE"""),100009.0)</f>
        <v>100009</v>
      </c>
      <c r="B11" s="5" t="str">
        <f>IFERROR(__xludf.DUMMYFUNCTION("""COMPUTED_VALUE"""),"Ler-0")</f>
        <v>Ler-0</v>
      </c>
      <c r="C11" s="5">
        <f>IFERROR(__xludf.DUMMYFUNCTION("""COMPUTED_VALUE"""),7213.0)</f>
        <v>7213</v>
      </c>
      <c r="D11" s="5"/>
      <c r="E11" s="5">
        <f>IFERROR(__xludf.DUMMYFUNCTION("""COMPUTED_VALUE"""),100009.0)</f>
        <v>100009</v>
      </c>
      <c r="F11" s="5">
        <f>IFERROR(__xludf.DUMMYFUNCTION("""COMPUTED_VALUE"""),1.0)</f>
        <v>1</v>
      </c>
      <c r="G11" s="5"/>
      <c r="H11" s="5" t="b">
        <f>IFERROR(__xludf.DUMMYFUNCTION("""COMPUTED_VALUE"""),FALSE)</f>
        <v>0</v>
      </c>
      <c r="I11" s="5"/>
      <c r="J11" s="5"/>
      <c r="K11" s="5"/>
      <c r="L11" s="5"/>
      <c r="M11" s="5"/>
      <c r="N11" s="5">
        <f>IFERROR(__xludf.DUMMYFUNCTION("""COMPUTED_VALUE"""),61.0)</f>
        <v>61</v>
      </c>
      <c r="O11" s="5"/>
      <c r="P11" s="5"/>
      <c r="Q11" s="5" t="str">
        <f>IFERROR(__xludf.DUMMYFUNCTION("""COMPUTED_VALUE"""),"no")</f>
        <v>no</v>
      </c>
      <c r="R11" s="5" t="str">
        <f>IFERROR(__xludf.DUMMYFUNCTION("""COMPUTED_VALUE"""),"CLR")</f>
        <v>CLR</v>
      </c>
      <c r="S11" s="5" t="str">
        <f>IFERROR(__xludf.DUMMYFUNCTION("""COMPUTED_VALUE"""),"Falcon")</f>
        <v>Falcon</v>
      </c>
      <c r="T11" s="6" t="str">
        <f>IFERROR(__xludf.DUMMYFUNCTION("""COMPUTED_VALUE"""),"Pool")</f>
        <v>Pool</v>
      </c>
      <c r="U11" s="6">
        <f>IFERROR(__xludf.DUMMYFUNCTION("""COMPUTED_VALUE"""),2019.0)</f>
        <v>2019</v>
      </c>
      <c r="V11" s="6" t="str">
        <f>IFERROR(__xludf.DUMMYFUNCTION("""COMPUTED_VALUE"""),"yes")</f>
        <v>yes</v>
      </c>
      <c r="W11" s="6" t="str">
        <f>IFERROR(__xludf.DUMMYFUNCTION("""COMPUTED_VALUE"""),"Goel")</f>
        <v>Goel</v>
      </c>
      <c r="X11" s="5">
        <f>IFERROR(__xludf.DUMMYFUNCTION("""COMPUTED_VALUE"""),2019.0)</f>
        <v>2019</v>
      </c>
      <c r="Y11" s="5" t="str">
        <f>IFERROR(__xludf.DUMMYFUNCTION("""COMPUTED_VALUE"""),"GenomeBiol")</f>
        <v>GenomeBiol</v>
      </c>
      <c r="Z11" s="7" t="str">
        <f>IFERROR(__xludf.DUMMYFUNCTION("""COMPUTED_VALUE"""),"10.1186/s13059-019-1911-0")</f>
        <v>10.1186/s13059-019-1911-0</v>
      </c>
      <c r="AA11" s="7" t="str">
        <f>IFERROR(__xludf.DUMMYFUNCTION("""COMPUTED_VALUE"""),"https://genomebiology.biomedcentral.com/articles/10.1186/s13059-019-1911-0")</f>
        <v>https://genomebiology.biomedcentral.com/articles/10.1186/s13059-019-1911-0</v>
      </c>
      <c r="AB11" s="5"/>
    </row>
    <row r="12">
      <c r="A12" s="5">
        <f>IFERROR(__xludf.DUMMYFUNCTION("""COMPUTED_VALUE"""),100010.0)</f>
        <v>100010</v>
      </c>
      <c r="B12" s="5" t="str">
        <f>IFERROR(__xludf.DUMMYFUNCTION("""COMPUTED_VALUE"""),"Ler-0")</f>
        <v>Ler-0</v>
      </c>
      <c r="C12" s="5">
        <f>IFERROR(__xludf.DUMMYFUNCTION("""COMPUTED_VALUE"""),7213.0)</f>
        <v>7213</v>
      </c>
      <c r="D12" s="5"/>
      <c r="E12" s="5">
        <f>IFERROR(__xludf.DUMMYFUNCTION("""COMPUTED_VALUE"""),100009.0)</f>
        <v>100009</v>
      </c>
      <c r="F12" s="5">
        <f>IFERROR(__xludf.DUMMYFUNCTION("""COMPUTED_VALUE"""),2.0)</f>
        <v>2</v>
      </c>
      <c r="G12" s="5"/>
      <c r="H12" s="5" t="b">
        <f>IFERROR(__xludf.DUMMYFUNCTION("""COMPUTED_VALUE"""),FALSE)</f>
        <v>0</v>
      </c>
      <c r="I12" s="5" t="str">
        <f>IFERROR(__xludf.DUMMYFUNCTION("""COMPUTED_VALUE"""),"deep")</f>
        <v>deep</v>
      </c>
      <c r="J12" s="5"/>
      <c r="K12" s="5"/>
      <c r="L12" s="5"/>
      <c r="M12" s="5"/>
      <c r="N12" s="5">
        <f>IFERROR(__xludf.DUMMYFUNCTION("""COMPUTED_VALUE"""),44.0)</f>
        <v>44</v>
      </c>
      <c r="O12" s="5"/>
      <c r="P12" s="5"/>
      <c r="Q12" s="5" t="str">
        <f>IFERROR(__xludf.DUMMYFUNCTION("""COMPUTED_VALUE"""),"no")</f>
        <v>no</v>
      </c>
      <c r="R12" s="5" t="str">
        <f>IFERROR(__xludf.DUMMYFUNCTION("""COMPUTED_VALUE"""),"CLR")</f>
        <v>CLR</v>
      </c>
      <c r="S12" s="5" t="str">
        <f>IFERROR(__xludf.DUMMYFUNCTION("""COMPUTED_VALUE"""),"Falcon")</f>
        <v>Falcon</v>
      </c>
      <c r="T12" s="6" t="str">
        <f>IFERROR(__xludf.DUMMYFUNCTION("""COMPUTED_VALUE"""),"Pool")</f>
        <v>Pool</v>
      </c>
      <c r="U12" s="6">
        <f>IFERROR(__xludf.DUMMYFUNCTION("""COMPUTED_VALUE"""),2019.0)</f>
        <v>2019</v>
      </c>
      <c r="V12" s="6" t="str">
        <f>IFERROR(__xludf.DUMMYFUNCTION("""COMPUTED_VALUE"""),"yes")</f>
        <v>yes</v>
      </c>
      <c r="W12" s="6" t="str">
        <f>IFERROR(__xludf.DUMMYFUNCTION("""COMPUTED_VALUE"""),"Jiao")</f>
        <v>Jiao</v>
      </c>
      <c r="X12" s="5">
        <f>IFERROR(__xludf.DUMMYFUNCTION("""COMPUTED_VALUE"""),2020.0)</f>
        <v>2020</v>
      </c>
      <c r="Y12" s="5" t="str">
        <f>IFERROR(__xludf.DUMMYFUNCTION("""COMPUTED_VALUE"""),"NatCommun")</f>
        <v>NatCommun</v>
      </c>
      <c r="Z12" s="7" t="str">
        <f>IFERROR(__xludf.DUMMYFUNCTION("""COMPUTED_VALUE"""),"10.1038/s41467-020-14779-y")</f>
        <v>10.1038/s41467-020-14779-y</v>
      </c>
      <c r="AA12" s="7" t="str">
        <f>IFERROR(__xludf.DUMMYFUNCTION("""COMPUTED_VALUE"""),"https://www.nature.com/articles/s41467-020-14779-y")</f>
        <v>https://www.nature.com/articles/s41467-020-14779-y</v>
      </c>
      <c r="AB12" s="5"/>
    </row>
    <row r="13">
      <c r="A13" s="5">
        <f>IFERROR(__xludf.DUMMYFUNCTION("""COMPUTED_VALUE"""),100011.0)</f>
        <v>100011</v>
      </c>
      <c r="B13" s="5" t="str">
        <f>IFERROR(__xludf.DUMMYFUNCTION("""COMPUTED_VALUE"""),"An-1")</f>
        <v>An-1</v>
      </c>
      <c r="C13" s="5">
        <f>IFERROR(__xludf.DUMMYFUNCTION("""COMPUTED_VALUE"""),6898.0)</f>
        <v>6898</v>
      </c>
      <c r="D13" s="5"/>
      <c r="E13" s="5"/>
      <c r="F13" s="5">
        <f>IFERROR(__xludf.DUMMYFUNCTION("""COMPUTED_VALUE"""),1.0)</f>
        <v>1</v>
      </c>
      <c r="G13" s="5"/>
      <c r="H13" s="5"/>
      <c r="I13" s="5"/>
      <c r="J13" s="5"/>
      <c r="K13" s="5"/>
      <c r="L13" s="5"/>
      <c r="M13" s="5"/>
      <c r="N13" s="5">
        <f>IFERROR(__xludf.DUMMYFUNCTION("""COMPUTED_VALUE"""),40.0)</f>
        <v>40</v>
      </c>
      <c r="O13" s="5"/>
      <c r="P13" s="5"/>
      <c r="Q13" s="5" t="str">
        <f>IFERROR(__xludf.DUMMYFUNCTION("""COMPUTED_VALUE"""),"no")</f>
        <v>no</v>
      </c>
      <c r="R13" s="5" t="str">
        <f>IFERROR(__xludf.DUMMYFUNCTION("""COMPUTED_VALUE"""),"CLR")</f>
        <v>CLR</v>
      </c>
      <c r="S13" s="5" t="str">
        <f>IFERROR(__xludf.DUMMYFUNCTION("""COMPUTED_VALUE"""),"Falcon")</f>
        <v>Falcon</v>
      </c>
      <c r="T13" s="6" t="str">
        <f>IFERROR(__xludf.DUMMYFUNCTION("""COMPUTED_VALUE"""),"Pool")</f>
        <v>Pool</v>
      </c>
      <c r="U13" s="6">
        <f>IFERROR(__xludf.DUMMYFUNCTION("""COMPUTED_VALUE"""),2020.0)</f>
        <v>2020</v>
      </c>
      <c r="V13" s="6" t="str">
        <f>IFERROR(__xludf.DUMMYFUNCTION("""COMPUTED_VALUE"""),"yes")</f>
        <v>yes</v>
      </c>
      <c r="W13" s="6" t="str">
        <f>IFERROR(__xludf.DUMMYFUNCTION("""COMPUTED_VALUE"""),"Jiao")</f>
        <v>Jiao</v>
      </c>
      <c r="X13" s="5">
        <f>IFERROR(__xludf.DUMMYFUNCTION("""COMPUTED_VALUE"""),2020.0)</f>
        <v>2020</v>
      </c>
      <c r="Y13" s="5" t="str">
        <f>IFERROR(__xludf.DUMMYFUNCTION("""COMPUTED_VALUE"""),"NatCommun")</f>
        <v>NatCommun</v>
      </c>
      <c r="Z13" s="7" t="str">
        <f>IFERROR(__xludf.DUMMYFUNCTION("""COMPUTED_VALUE"""),"10.1038/s41467-020-14779-y")</f>
        <v>10.1038/s41467-020-14779-y</v>
      </c>
      <c r="AA13" s="7" t="str">
        <f>IFERROR(__xludf.DUMMYFUNCTION("""COMPUTED_VALUE"""),"https://www.nature.com/articles/s41467-020-14779-y")</f>
        <v>https://www.nature.com/articles/s41467-020-14779-y</v>
      </c>
      <c r="AB13" s="5"/>
    </row>
    <row r="14">
      <c r="A14" s="5">
        <f>IFERROR(__xludf.DUMMYFUNCTION("""COMPUTED_VALUE"""),100012.0)</f>
        <v>100012</v>
      </c>
      <c r="B14" s="5" t="str">
        <f>IFERROR(__xludf.DUMMYFUNCTION("""COMPUTED_VALUE"""),"C24")</f>
        <v>C24</v>
      </c>
      <c r="C14" s="5">
        <f>IFERROR(__xludf.DUMMYFUNCTION("""COMPUTED_VALUE"""),6906.0)</f>
        <v>6906</v>
      </c>
      <c r="D14" s="5"/>
      <c r="E14" s="5"/>
      <c r="F14" s="5">
        <f>IFERROR(__xludf.DUMMYFUNCTION("""COMPUTED_VALUE"""),1.0)</f>
        <v>1</v>
      </c>
      <c r="G14" s="5"/>
      <c r="H14" s="5"/>
      <c r="I14" s="5"/>
      <c r="J14" s="5"/>
      <c r="K14" s="5"/>
      <c r="L14" s="5"/>
      <c r="M14" s="5"/>
      <c r="N14" s="5">
        <f>IFERROR(__xludf.DUMMYFUNCTION("""COMPUTED_VALUE"""),68.0)</f>
        <v>68</v>
      </c>
      <c r="O14" s="5"/>
      <c r="P14" s="5"/>
      <c r="Q14" s="5" t="str">
        <f>IFERROR(__xludf.DUMMYFUNCTION("""COMPUTED_VALUE"""),"no")</f>
        <v>no</v>
      </c>
      <c r="R14" s="5" t="str">
        <f>IFERROR(__xludf.DUMMYFUNCTION("""COMPUTED_VALUE"""),"CLR")</f>
        <v>CLR</v>
      </c>
      <c r="S14" s="5" t="str">
        <f>IFERROR(__xludf.DUMMYFUNCTION("""COMPUTED_VALUE"""),"Falcon")</f>
        <v>Falcon</v>
      </c>
      <c r="T14" s="6" t="str">
        <f>IFERROR(__xludf.DUMMYFUNCTION("""COMPUTED_VALUE"""),"Pool")</f>
        <v>Pool</v>
      </c>
      <c r="U14" s="6">
        <f>IFERROR(__xludf.DUMMYFUNCTION("""COMPUTED_VALUE"""),2020.0)</f>
        <v>2020</v>
      </c>
      <c r="V14" s="6" t="str">
        <f>IFERROR(__xludf.DUMMYFUNCTION("""COMPUTED_VALUE"""),"yes")</f>
        <v>yes</v>
      </c>
      <c r="W14" s="6" t="str">
        <f>IFERROR(__xludf.DUMMYFUNCTION("""COMPUTED_VALUE"""),"Jiao")</f>
        <v>Jiao</v>
      </c>
      <c r="X14" s="5">
        <f>IFERROR(__xludf.DUMMYFUNCTION("""COMPUTED_VALUE"""),2020.0)</f>
        <v>2020</v>
      </c>
      <c r="Y14" s="5" t="str">
        <f>IFERROR(__xludf.DUMMYFUNCTION("""COMPUTED_VALUE"""),"NatCommun")</f>
        <v>NatCommun</v>
      </c>
      <c r="Z14" s="7" t="str">
        <f>IFERROR(__xludf.DUMMYFUNCTION("""COMPUTED_VALUE"""),"10.1038/s41467-020-14779-y")</f>
        <v>10.1038/s41467-020-14779-y</v>
      </c>
      <c r="AA14" s="7" t="str">
        <f>IFERROR(__xludf.DUMMYFUNCTION("""COMPUTED_VALUE"""),"https://www.nature.com/articles/s41467-020-14779-y")</f>
        <v>https://www.nature.com/articles/s41467-020-14779-y</v>
      </c>
      <c r="AB14" s="5"/>
    </row>
    <row r="15">
      <c r="A15" s="5">
        <f>IFERROR(__xludf.DUMMYFUNCTION("""COMPUTED_VALUE"""),100013.0)</f>
        <v>100013</v>
      </c>
      <c r="B15" s="5" t="str">
        <f>IFERROR(__xludf.DUMMYFUNCTION("""COMPUTED_VALUE"""),"Cvi-0")</f>
        <v>Cvi-0</v>
      </c>
      <c r="C15" s="5">
        <f>IFERROR(__xludf.DUMMYFUNCTION("""COMPUTED_VALUE"""),6911.0)</f>
        <v>6911</v>
      </c>
      <c r="D15" s="5"/>
      <c r="E15" s="5"/>
      <c r="F15" s="5">
        <f>IFERROR(__xludf.DUMMYFUNCTION("""COMPUTED_VALUE"""),1.0)</f>
        <v>1</v>
      </c>
      <c r="G15" s="5"/>
      <c r="H15" s="5"/>
      <c r="I15" s="5"/>
      <c r="J15" s="5"/>
      <c r="K15" s="5"/>
      <c r="L15" s="5"/>
      <c r="M15" s="5"/>
      <c r="N15" s="5">
        <f>IFERROR(__xludf.DUMMYFUNCTION("""COMPUTED_VALUE"""),38.0)</f>
        <v>38</v>
      </c>
      <c r="O15" s="5"/>
      <c r="P15" s="5"/>
      <c r="Q15" s="5" t="str">
        <f>IFERROR(__xludf.DUMMYFUNCTION("""COMPUTED_VALUE"""),"no")</f>
        <v>no</v>
      </c>
      <c r="R15" s="5" t="str">
        <f>IFERROR(__xludf.DUMMYFUNCTION("""COMPUTED_VALUE"""),"CLR")</f>
        <v>CLR</v>
      </c>
      <c r="S15" s="5" t="str">
        <f>IFERROR(__xludf.DUMMYFUNCTION("""COMPUTED_VALUE"""),"Falcon")</f>
        <v>Falcon</v>
      </c>
      <c r="T15" s="6" t="str">
        <f>IFERROR(__xludf.DUMMYFUNCTION("""COMPUTED_VALUE"""),"Pool")</f>
        <v>Pool</v>
      </c>
      <c r="U15" s="6">
        <f>IFERROR(__xludf.DUMMYFUNCTION("""COMPUTED_VALUE"""),2019.0)</f>
        <v>2019</v>
      </c>
      <c r="V15" s="6" t="str">
        <f>IFERROR(__xludf.DUMMYFUNCTION("""COMPUTED_VALUE"""),"yes")</f>
        <v>yes</v>
      </c>
      <c r="W15" s="6" t="str">
        <f>IFERROR(__xludf.DUMMYFUNCTION("""COMPUTED_VALUE"""),"Jiao")</f>
        <v>Jiao</v>
      </c>
      <c r="X15" s="5">
        <f>IFERROR(__xludf.DUMMYFUNCTION("""COMPUTED_VALUE"""),2020.0)</f>
        <v>2020</v>
      </c>
      <c r="Y15" s="5" t="str">
        <f>IFERROR(__xludf.DUMMYFUNCTION("""COMPUTED_VALUE"""),"NatCommun")</f>
        <v>NatCommun</v>
      </c>
      <c r="Z15" s="7" t="str">
        <f>IFERROR(__xludf.DUMMYFUNCTION("""COMPUTED_VALUE"""),"10.1038/s41467-020-14779-y")</f>
        <v>10.1038/s41467-020-14779-y</v>
      </c>
      <c r="AA15" s="7" t="str">
        <f>IFERROR(__xludf.DUMMYFUNCTION("""COMPUTED_VALUE"""),"https://www.nature.com/articles/s41467-020-14779-y")</f>
        <v>https://www.nature.com/articles/s41467-020-14779-y</v>
      </c>
      <c r="AB15" s="5"/>
    </row>
    <row r="16">
      <c r="A16" s="5">
        <f>IFERROR(__xludf.DUMMYFUNCTION("""COMPUTED_VALUE"""),100014.0)</f>
        <v>100014</v>
      </c>
      <c r="B16" s="5" t="str">
        <f>IFERROR(__xludf.DUMMYFUNCTION("""COMPUTED_VALUE"""),"Eri-1")</f>
        <v>Eri-1</v>
      </c>
      <c r="C16" s="5">
        <f>IFERROR(__xludf.DUMMYFUNCTION("""COMPUTED_VALUE"""),7124.0)</f>
        <v>7124</v>
      </c>
      <c r="D16" s="5"/>
      <c r="E16" s="5"/>
      <c r="F16" s="5">
        <f>IFERROR(__xludf.DUMMYFUNCTION("""COMPUTED_VALUE"""),1.0)</f>
        <v>1</v>
      </c>
      <c r="G16" s="5"/>
      <c r="H16" s="5"/>
      <c r="I16" s="5"/>
      <c r="J16" s="5"/>
      <c r="K16" s="5"/>
      <c r="L16" s="5"/>
      <c r="M16" s="5"/>
      <c r="N16" s="5">
        <f>IFERROR(__xludf.DUMMYFUNCTION("""COMPUTED_VALUE"""),58.0)</f>
        <v>58</v>
      </c>
      <c r="O16" s="5"/>
      <c r="P16" s="5"/>
      <c r="Q16" s="5" t="str">
        <f>IFERROR(__xludf.DUMMYFUNCTION("""COMPUTED_VALUE"""),"no")</f>
        <v>no</v>
      </c>
      <c r="R16" s="5" t="str">
        <f>IFERROR(__xludf.DUMMYFUNCTION("""COMPUTED_VALUE"""),"CLR")</f>
        <v>CLR</v>
      </c>
      <c r="S16" s="5" t="str">
        <f>IFERROR(__xludf.DUMMYFUNCTION("""COMPUTED_VALUE"""),"Falcon")</f>
        <v>Falcon</v>
      </c>
      <c r="T16" s="6" t="str">
        <f>IFERROR(__xludf.DUMMYFUNCTION("""COMPUTED_VALUE"""),"Pool")</f>
        <v>Pool</v>
      </c>
      <c r="U16" s="6">
        <f>IFERROR(__xludf.DUMMYFUNCTION("""COMPUTED_VALUE"""),2019.0)</f>
        <v>2019</v>
      </c>
      <c r="V16" s="6" t="str">
        <f>IFERROR(__xludf.DUMMYFUNCTION("""COMPUTED_VALUE"""),"yes")</f>
        <v>yes</v>
      </c>
      <c r="W16" s="6" t="str">
        <f>IFERROR(__xludf.DUMMYFUNCTION("""COMPUTED_VALUE"""),"Jiao")</f>
        <v>Jiao</v>
      </c>
      <c r="X16" s="5">
        <f>IFERROR(__xludf.DUMMYFUNCTION("""COMPUTED_VALUE"""),2020.0)</f>
        <v>2020</v>
      </c>
      <c r="Y16" s="5" t="str">
        <f>IFERROR(__xludf.DUMMYFUNCTION("""COMPUTED_VALUE"""),"NatCommun")</f>
        <v>NatCommun</v>
      </c>
      <c r="Z16" s="7" t="str">
        <f>IFERROR(__xludf.DUMMYFUNCTION("""COMPUTED_VALUE"""),"10.1038/s41467-020-14779-y")</f>
        <v>10.1038/s41467-020-14779-y</v>
      </c>
      <c r="AA16" s="7" t="str">
        <f>IFERROR(__xludf.DUMMYFUNCTION("""COMPUTED_VALUE"""),"https://www.nature.com/articles/s41467-020-14779-y")</f>
        <v>https://www.nature.com/articles/s41467-020-14779-y</v>
      </c>
      <c r="AB16" s="5"/>
    </row>
    <row r="17">
      <c r="A17" s="5">
        <f>IFERROR(__xludf.DUMMYFUNCTION("""COMPUTED_VALUE"""),100015.0)</f>
        <v>100015</v>
      </c>
      <c r="B17" s="5" t="str">
        <f>IFERROR(__xludf.DUMMYFUNCTION("""COMPUTED_VALUE"""),"Kyoto")</f>
        <v>Kyoto</v>
      </c>
      <c r="C17" s="5">
        <f>IFERROR(__xludf.DUMMYFUNCTION("""COMPUTED_VALUE"""),7207.0)</f>
        <v>7207</v>
      </c>
      <c r="D17" s="5"/>
      <c r="E17" s="5"/>
      <c r="F17" s="5">
        <f>IFERROR(__xludf.DUMMYFUNCTION("""COMPUTED_VALUE"""),1.0)</f>
        <v>1</v>
      </c>
      <c r="G17" s="5"/>
      <c r="H17" s="5"/>
      <c r="I17" s="5"/>
      <c r="J17" s="5"/>
      <c r="K17" s="5"/>
      <c r="L17" s="5"/>
      <c r="M17" s="5"/>
      <c r="N17" s="5">
        <f>IFERROR(__xludf.DUMMYFUNCTION("""COMPUTED_VALUE"""),46.0)</f>
        <v>46</v>
      </c>
      <c r="O17" s="5"/>
      <c r="P17" s="5"/>
      <c r="Q17" s="5" t="str">
        <f>IFERROR(__xludf.DUMMYFUNCTION("""COMPUTED_VALUE"""),"no")</f>
        <v>no</v>
      </c>
      <c r="R17" s="5" t="str">
        <f>IFERROR(__xludf.DUMMYFUNCTION("""COMPUTED_VALUE"""),"CLR")</f>
        <v>CLR</v>
      </c>
      <c r="S17" s="5" t="str">
        <f>IFERROR(__xludf.DUMMYFUNCTION("""COMPUTED_VALUE"""),"Falcon")</f>
        <v>Falcon</v>
      </c>
      <c r="T17" s="6" t="str">
        <f>IFERROR(__xludf.DUMMYFUNCTION("""COMPUTED_VALUE"""),"Pool")</f>
        <v>Pool</v>
      </c>
      <c r="U17" s="6">
        <f>IFERROR(__xludf.DUMMYFUNCTION("""COMPUTED_VALUE"""),2019.0)</f>
        <v>2019</v>
      </c>
      <c r="V17" s="6" t="str">
        <f>IFERROR(__xludf.DUMMYFUNCTION("""COMPUTED_VALUE"""),"yes")</f>
        <v>yes</v>
      </c>
      <c r="W17" s="6" t="str">
        <f>IFERROR(__xludf.DUMMYFUNCTION("""COMPUTED_VALUE"""),"Jiao")</f>
        <v>Jiao</v>
      </c>
      <c r="X17" s="5">
        <f>IFERROR(__xludf.DUMMYFUNCTION("""COMPUTED_VALUE"""),2020.0)</f>
        <v>2020</v>
      </c>
      <c r="Y17" s="5" t="str">
        <f>IFERROR(__xludf.DUMMYFUNCTION("""COMPUTED_VALUE"""),"NatCommun")</f>
        <v>NatCommun</v>
      </c>
      <c r="Z17" s="7" t="str">
        <f>IFERROR(__xludf.DUMMYFUNCTION("""COMPUTED_VALUE"""),"10.1038/s41467-020-14779-y")</f>
        <v>10.1038/s41467-020-14779-y</v>
      </c>
      <c r="AA17" s="7" t="str">
        <f>IFERROR(__xludf.DUMMYFUNCTION("""COMPUTED_VALUE"""),"https://www.nature.com/articles/s41467-020-14779-y")</f>
        <v>https://www.nature.com/articles/s41467-020-14779-y</v>
      </c>
      <c r="AB17" s="5"/>
    </row>
    <row r="18">
      <c r="A18" s="5">
        <f>IFERROR(__xludf.DUMMYFUNCTION("""COMPUTED_VALUE"""),100016.0)</f>
        <v>100016</v>
      </c>
      <c r="B18" s="5" t="str">
        <f>IFERROR(__xludf.DUMMYFUNCTION("""COMPUTED_VALUE"""),"Shahdara")</f>
        <v>Shahdara</v>
      </c>
      <c r="C18" s="5">
        <f>IFERROR(__xludf.DUMMYFUNCTION("""COMPUTED_VALUE"""),6962.0)</f>
        <v>6962</v>
      </c>
      <c r="D18" s="5"/>
      <c r="E18" s="5"/>
      <c r="F18" s="5">
        <f>IFERROR(__xludf.DUMMYFUNCTION("""COMPUTED_VALUE"""),1.0)</f>
        <v>1</v>
      </c>
      <c r="G18" s="5"/>
      <c r="H18" s="5"/>
      <c r="I18" s="5"/>
      <c r="J18" s="5"/>
      <c r="K18" s="5"/>
      <c r="L18" s="5"/>
      <c r="M18" s="5"/>
      <c r="N18" s="5">
        <f>IFERROR(__xludf.DUMMYFUNCTION("""COMPUTED_VALUE"""),49.0)</f>
        <v>49</v>
      </c>
      <c r="O18" s="5"/>
      <c r="P18" s="5"/>
      <c r="Q18" s="5" t="str">
        <f>IFERROR(__xludf.DUMMYFUNCTION("""COMPUTED_VALUE"""),"no")</f>
        <v>no</v>
      </c>
      <c r="R18" s="5" t="str">
        <f>IFERROR(__xludf.DUMMYFUNCTION("""COMPUTED_VALUE"""),"CLR")</f>
        <v>CLR</v>
      </c>
      <c r="S18" s="5" t="str">
        <f>IFERROR(__xludf.DUMMYFUNCTION("""COMPUTED_VALUE"""),"Falcon")</f>
        <v>Falcon</v>
      </c>
      <c r="T18" s="6" t="str">
        <f>IFERROR(__xludf.DUMMYFUNCTION("""COMPUTED_VALUE"""),"Pool")</f>
        <v>Pool</v>
      </c>
      <c r="U18" s="6">
        <f>IFERROR(__xludf.DUMMYFUNCTION("""COMPUTED_VALUE"""),2019.0)</f>
        <v>2019</v>
      </c>
      <c r="V18" s="6" t="str">
        <f>IFERROR(__xludf.DUMMYFUNCTION("""COMPUTED_VALUE"""),"yes")</f>
        <v>yes</v>
      </c>
      <c r="W18" s="6" t="str">
        <f>IFERROR(__xludf.DUMMYFUNCTION("""COMPUTED_VALUE"""),"Jiao")</f>
        <v>Jiao</v>
      </c>
      <c r="X18" s="5">
        <f>IFERROR(__xludf.DUMMYFUNCTION("""COMPUTED_VALUE"""),2020.0)</f>
        <v>2020</v>
      </c>
      <c r="Y18" s="5" t="str">
        <f>IFERROR(__xludf.DUMMYFUNCTION("""COMPUTED_VALUE"""),"NatCommun")</f>
        <v>NatCommun</v>
      </c>
      <c r="Z18" s="7" t="str">
        <f>IFERROR(__xludf.DUMMYFUNCTION("""COMPUTED_VALUE"""),"10.1038/s41467-020-14779-y")</f>
        <v>10.1038/s41467-020-14779-y</v>
      </c>
      <c r="AA18" s="7" t="str">
        <f>IFERROR(__xludf.DUMMYFUNCTION("""COMPUTED_VALUE"""),"https://www.nature.com/articles/s41467-020-14779-y")</f>
        <v>https://www.nature.com/articles/s41467-020-14779-y</v>
      </c>
      <c r="AB18" s="5"/>
    </row>
    <row r="19">
      <c r="A19" s="5">
        <f>IFERROR(__xludf.DUMMYFUNCTION("""COMPUTED_VALUE"""),100017.0)</f>
        <v>100017</v>
      </c>
      <c r="B19" s="5" t="str">
        <f>IFERROR(__xludf.DUMMYFUNCTION("""COMPUTED_VALUE"""),"Cdm-0")</f>
        <v>Cdm-0</v>
      </c>
      <c r="C19" s="5">
        <f>IFERROR(__xludf.DUMMYFUNCTION("""COMPUTED_VALUE"""),9943.0)</f>
        <v>9943</v>
      </c>
      <c r="D19" s="5"/>
      <c r="E19" s="5"/>
      <c r="F19" s="5">
        <f>IFERROR(__xludf.DUMMYFUNCTION("""COMPUTED_VALUE"""),1.0)</f>
        <v>1</v>
      </c>
      <c r="G19" s="5"/>
      <c r="H19" s="5" t="b">
        <f>IFERROR(__xludf.DUMMYFUNCTION("""COMPUTED_VALUE"""),FALSE)</f>
        <v>0</v>
      </c>
      <c r="I19" s="5"/>
      <c r="J19" s="5" t="str">
        <f>IFERROR(__xludf.DUMMYFUNCTION("""COMPUTED_VALUE"""),"CS76410")</f>
        <v>CS76410</v>
      </c>
      <c r="K19" s="5">
        <f>IFERROR(__xludf.DUMMYFUNCTION("""COMPUTED_VALUE"""),39.73)</f>
        <v>39.73</v>
      </c>
      <c r="L19" s="5">
        <f>IFERROR(__xludf.DUMMYFUNCTION("""COMPUTED_VALUE"""),-5.74)</f>
        <v>-5.74</v>
      </c>
      <c r="M19" s="5"/>
      <c r="N19" s="5">
        <f>IFERROR(__xludf.DUMMYFUNCTION("""COMPUTED_VALUE"""),83.0)</f>
        <v>83</v>
      </c>
      <c r="O19" s="5"/>
      <c r="P19" s="5"/>
      <c r="Q19" s="5" t="str">
        <f>IFERROR(__xludf.DUMMYFUNCTION("""COMPUTED_VALUE"""),"no")</f>
        <v>no</v>
      </c>
      <c r="R19" s="5" t="str">
        <f>IFERROR(__xludf.DUMMYFUNCTION("""COMPUTED_VALUE"""),"CLR")</f>
        <v>CLR</v>
      </c>
      <c r="S19" s="5" t="str">
        <f>IFERROR(__xludf.DUMMYFUNCTION("""COMPUTED_VALUE"""),"Canu_v1.71")</f>
        <v>Canu_v1.71</v>
      </c>
      <c r="T19" s="6" t="str">
        <f>IFERROR(__xludf.DUMMYFUNCTION("""COMPUTED_VALUE"""),"Pool")</f>
        <v>Pool</v>
      </c>
      <c r="U19" s="6">
        <f>IFERROR(__xludf.DUMMYFUNCTION("""COMPUTED_VALUE"""),2020.0)</f>
        <v>2020</v>
      </c>
      <c r="V19" s="6" t="str">
        <f>IFERROR(__xludf.DUMMYFUNCTION("""COMPUTED_VALUE"""),"yes")</f>
        <v>yes</v>
      </c>
      <c r="W19" s="6" t="str">
        <f>IFERROR(__xludf.DUMMYFUNCTION("""COMPUTED_VALUE"""),"Barragan")</f>
        <v>Barragan</v>
      </c>
      <c r="X19" s="5">
        <f>IFERROR(__xludf.DUMMYFUNCTION("""COMPUTED_VALUE"""),2020.0)</f>
        <v>2020</v>
      </c>
      <c r="Y19" s="5" t="str">
        <f>IFERROR(__xludf.DUMMYFUNCTION("""COMPUTED_VALUE"""),"MolBiolEvol")</f>
        <v>MolBiolEvol</v>
      </c>
      <c r="Z19" s="7" t="str">
        <f>IFERROR(__xludf.DUMMYFUNCTION("""COMPUTED_VALUE"""),"10.1093/molbev/msaa245")</f>
        <v>10.1093/molbev/msaa245</v>
      </c>
      <c r="AA19" s="7" t="str">
        <f>IFERROR(__xludf.DUMMYFUNCTION("""COMPUTED_VALUE"""),"https://academic.oup.com/mbe/article/38/2/557/5910554?login=true")</f>
        <v>https://academic.oup.com/mbe/article/38/2/557/5910554?login=true</v>
      </c>
      <c r="AB19" s="5"/>
    </row>
    <row r="20">
      <c r="A20" s="5">
        <f>IFERROR(__xludf.DUMMYFUNCTION("""COMPUTED_VALUE"""),100018.0)</f>
        <v>100018</v>
      </c>
      <c r="B20" s="5" t="str">
        <f>IFERROR(__xludf.DUMMYFUNCTION("""COMPUTED_VALUE"""),"Ler-0")</f>
        <v>Ler-0</v>
      </c>
      <c r="C20" s="5">
        <f>IFERROR(__xludf.DUMMYFUNCTION("""COMPUTED_VALUE"""),7213.0)</f>
        <v>7213</v>
      </c>
      <c r="D20" s="5"/>
      <c r="E20" s="5"/>
      <c r="F20" s="5">
        <f>IFERROR(__xludf.DUMMYFUNCTION("""COMPUTED_VALUE"""),1.0)</f>
        <v>1</v>
      </c>
      <c r="G20" s="5"/>
      <c r="H20" s="5"/>
      <c r="I20" s="5"/>
      <c r="J20" s="5"/>
      <c r="K20" s="5"/>
      <c r="L20" s="5"/>
      <c r="M20" s="5"/>
      <c r="N20" s="5">
        <f>IFERROR(__xludf.DUMMYFUNCTION("""COMPUTED_VALUE"""),15.0)</f>
        <v>15</v>
      </c>
      <c r="O20" s="5"/>
      <c r="P20" s="5"/>
      <c r="Q20" s="5" t="str">
        <f>IFERROR(__xludf.DUMMYFUNCTION("""COMPUTED_VALUE"""),"no")</f>
        <v>no</v>
      </c>
      <c r="R20" s="5" t="str">
        <f>IFERROR(__xludf.DUMMYFUNCTION("""COMPUTED_VALUE"""),"CLR")</f>
        <v>CLR</v>
      </c>
      <c r="S20" s="5"/>
      <c r="T20" s="6" t="str">
        <f>IFERROR(__xludf.DUMMYFUNCTION("""COMPUTED_VALUE"""),"Pool")</f>
        <v>Pool</v>
      </c>
      <c r="U20" s="6">
        <f>IFERROR(__xludf.DUMMYFUNCTION("""COMPUTED_VALUE"""),2020.0)</f>
        <v>2020</v>
      </c>
      <c r="V20" s="6" t="str">
        <f>IFERROR(__xludf.DUMMYFUNCTION("""COMPUTED_VALUE"""),"yes")</f>
        <v>yes</v>
      </c>
      <c r="W20" s="6" t="str">
        <f>IFERROR(__xludf.DUMMYFUNCTION("""COMPUTED_VALUE"""),"Kubica")</f>
        <v>Kubica</v>
      </c>
      <c r="X20" s="5"/>
      <c r="Y20" s="5" t="str">
        <f>IFERROR(__xludf.DUMMYFUNCTION("""COMPUTED_VALUE"""),"released")</f>
        <v>released</v>
      </c>
      <c r="Z20" s="5" t="str">
        <f>IFERROR(__xludf.DUMMYFUNCTION("""COMPUTED_VALUE"""),"NA")</f>
        <v>NA</v>
      </c>
      <c r="AA20" s="5" t="str">
        <f>IFERROR(__xludf.DUMMYFUNCTION("""COMPUTED_VALUE"""),"NA")</f>
        <v>NA</v>
      </c>
      <c r="AB20" s="5"/>
    </row>
    <row r="21">
      <c r="A21" s="5">
        <f>IFERROR(__xludf.DUMMYFUNCTION("""COMPUTED_VALUE"""),100019.0)</f>
        <v>100019</v>
      </c>
      <c r="B21" s="5" t="str">
        <f>IFERROR(__xludf.DUMMYFUNCTION("""COMPUTED_VALUE"""),"Kn-0")</f>
        <v>Kn-0</v>
      </c>
      <c r="C21" s="5">
        <f>IFERROR(__xludf.DUMMYFUNCTION("""COMPUTED_VALUE"""),7186.0)</f>
        <v>7186</v>
      </c>
      <c r="D21" s="5"/>
      <c r="E21" s="5"/>
      <c r="F21" s="5">
        <f>IFERROR(__xludf.DUMMYFUNCTION("""COMPUTED_VALUE"""),1.0)</f>
        <v>1</v>
      </c>
      <c r="G21" s="5"/>
      <c r="H21" s="5" t="b">
        <f>IFERROR(__xludf.DUMMYFUNCTION("""COMPUTED_VALUE"""),FALSE)</f>
        <v>0</v>
      </c>
      <c r="I21" s="5"/>
      <c r="J21" s="5"/>
      <c r="K21" s="5">
        <f>IFERROR(__xludf.DUMMYFUNCTION("""COMPUTED_VALUE"""),54.8969)</f>
        <v>54.8969</v>
      </c>
      <c r="L21" s="5">
        <f>IFERROR(__xludf.DUMMYFUNCTION("""COMPUTED_VALUE"""),23.8924)</f>
        <v>23.8924</v>
      </c>
      <c r="M21" s="5"/>
      <c r="N21" s="5">
        <f>IFERROR(__xludf.DUMMYFUNCTION("""COMPUTED_VALUE"""),25.0)</f>
        <v>25</v>
      </c>
      <c r="O21" s="5"/>
      <c r="P21" s="5"/>
      <c r="Q21" s="5" t="str">
        <f>IFERROR(__xludf.DUMMYFUNCTION("""COMPUTED_VALUE"""),"no")</f>
        <v>no</v>
      </c>
      <c r="R21" s="5" t="str">
        <f>IFERROR(__xludf.DUMMYFUNCTION("""COMPUTED_VALUE"""),"CLR")</f>
        <v>CLR</v>
      </c>
      <c r="S21" s="5"/>
      <c r="T21" s="6" t="str">
        <f>IFERROR(__xludf.DUMMYFUNCTION("""COMPUTED_VALUE"""),"Pool")</f>
        <v>Pool</v>
      </c>
      <c r="U21" s="6">
        <f>IFERROR(__xludf.DUMMYFUNCTION("""COMPUTED_VALUE"""),2020.0)</f>
        <v>2020</v>
      </c>
      <c r="V21" s="6" t="str">
        <f>IFERROR(__xludf.DUMMYFUNCTION("""COMPUTED_VALUE"""),"yes")</f>
        <v>yes</v>
      </c>
      <c r="W21" s="6" t="str">
        <f>IFERROR(__xludf.DUMMYFUNCTION("""COMPUTED_VALUE"""),"Kubica")</f>
        <v>Kubica</v>
      </c>
      <c r="X21" s="5"/>
      <c r="Y21" s="5" t="str">
        <f>IFERROR(__xludf.DUMMYFUNCTION("""COMPUTED_VALUE"""),"released")</f>
        <v>released</v>
      </c>
      <c r="Z21" s="5" t="str">
        <f>IFERROR(__xludf.DUMMYFUNCTION("""COMPUTED_VALUE"""),"NA")</f>
        <v>NA</v>
      </c>
      <c r="AA21" s="5" t="str">
        <f>IFERROR(__xludf.DUMMYFUNCTION("""COMPUTED_VALUE"""),"NA")</f>
        <v>NA</v>
      </c>
      <c r="AB21" s="5"/>
    </row>
    <row r="22">
      <c r="A22" s="5">
        <f>IFERROR(__xludf.DUMMYFUNCTION("""COMPUTED_VALUE"""),100020.0)</f>
        <v>100020</v>
      </c>
      <c r="B22" s="5" t="str">
        <f>IFERROR(__xludf.DUMMYFUNCTION("""COMPUTED_VALUE"""),"Cvi-0")</f>
        <v>Cvi-0</v>
      </c>
      <c r="C22" s="5">
        <f>IFERROR(__xludf.DUMMYFUNCTION("""COMPUTED_VALUE"""),6911.0)</f>
        <v>6911</v>
      </c>
      <c r="D22" s="5"/>
      <c r="E22" s="5"/>
      <c r="F22" s="5" t="str">
        <f>IFERROR(__xludf.DUMMYFUNCTION("""COMPUTED_VALUE"""),"NA")</f>
        <v>NA</v>
      </c>
      <c r="G22" s="5"/>
      <c r="H22" s="5" t="b">
        <f>IFERROR(__xludf.DUMMYFUNCTION("""COMPUTED_VALUE"""),FALSE)</f>
        <v>0</v>
      </c>
      <c r="I22" s="5" t="str">
        <f>IFERROR(__xludf.DUMMYFUNCTION("""COMPUTED_VALUE"""),"Not avaiable")</f>
        <v>Not avaiable</v>
      </c>
      <c r="J22" s="5"/>
      <c r="K22" s="5">
        <f>IFERROR(__xludf.DUMMYFUNCTION("""COMPUTED_VALUE"""),15.1111)</f>
        <v>15.1111</v>
      </c>
      <c r="L22" s="5">
        <f>IFERROR(__xludf.DUMMYFUNCTION("""COMPUTED_VALUE"""),-23.6167)</f>
        <v>-23.6167</v>
      </c>
      <c r="M22" s="5"/>
      <c r="N22" s="5"/>
      <c r="O22" s="5"/>
      <c r="P22" s="5"/>
      <c r="Q22" s="5" t="str">
        <f>IFERROR(__xludf.DUMMYFUNCTION("""COMPUTED_VALUE"""),"no")</f>
        <v>no</v>
      </c>
      <c r="R22" s="5" t="str">
        <f>IFERROR(__xludf.DUMMYFUNCTION("""COMPUTED_VALUE"""),"CLR")</f>
        <v>CLR</v>
      </c>
      <c r="S22" s="5"/>
      <c r="T22" s="6" t="str">
        <f>IFERROR(__xludf.DUMMYFUNCTION("""COMPUTED_VALUE"""),"NA")</f>
        <v>NA</v>
      </c>
      <c r="U22" s="6">
        <f>IFERROR(__xludf.DUMMYFUNCTION("""COMPUTED_VALUE"""),2020.0)</f>
        <v>2020</v>
      </c>
      <c r="V22" s="6" t="str">
        <f>IFERROR(__xludf.DUMMYFUNCTION("""COMPUTED_VALUE"""),"yes")</f>
        <v>yes</v>
      </c>
      <c r="W22" s="6" t="str">
        <f>IFERROR(__xludf.DUMMYFUNCTION("""COMPUTED_VALUE"""),"Kubica")</f>
        <v>Kubica</v>
      </c>
      <c r="X22" s="5"/>
      <c r="Y22" s="5" t="str">
        <f>IFERROR(__xludf.DUMMYFUNCTION("""COMPUTED_VALUE"""),"released")</f>
        <v>released</v>
      </c>
      <c r="Z22" s="5" t="str">
        <f>IFERROR(__xludf.DUMMYFUNCTION("""COMPUTED_VALUE"""),"NA")</f>
        <v>NA</v>
      </c>
      <c r="AA22" s="5" t="str">
        <f>IFERROR(__xludf.DUMMYFUNCTION("""COMPUTED_VALUE"""),"NA")</f>
        <v>NA</v>
      </c>
      <c r="AB22" s="5"/>
    </row>
    <row r="23">
      <c r="A23" s="5">
        <f>IFERROR(__xludf.DUMMYFUNCTION("""COMPUTED_VALUE"""),100021.0)</f>
        <v>100021</v>
      </c>
      <c r="B23" s="5" t="str">
        <f>IFERROR(__xludf.DUMMYFUNCTION("""COMPUTED_VALUE"""),"Ty-1")</f>
        <v>Ty-1</v>
      </c>
      <c r="C23" s="5">
        <f>IFERROR(__xludf.DUMMYFUNCTION("""COMPUTED_VALUE"""),5784.0)</f>
        <v>5784</v>
      </c>
      <c r="D23" s="5"/>
      <c r="E23" s="5"/>
      <c r="F23" s="5">
        <f>IFERROR(__xludf.DUMMYFUNCTION("""COMPUTED_VALUE"""),1.0)</f>
        <v>1</v>
      </c>
      <c r="G23" s="5"/>
      <c r="H23" s="5"/>
      <c r="I23" s="5"/>
      <c r="J23" s="5"/>
      <c r="K23" s="5">
        <f>IFERROR(__xludf.DUMMYFUNCTION("""COMPUTED_VALUE"""),56.4)</f>
        <v>56.4</v>
      </c>
      <c r="L23" s="5">
        <f>IFERROR(__xludf.DUMMYFUNCTION("""COMPUTED_VALUE"""),-5.2)</f>
        <v>-5.2</v>
      </c>
      <c r="M23" s="5"/>
      <c r="N23" s="5">
        <f>IFERROR(__xludf.DUMMYFUNCTION("""COMPUTED_VALUE"""),21.0)</f>
        <v>21</v>
      </c>
      <c r="O23" s="5"/>
      <c r="P23" s="5"/>
      <c r="Q23" s="5" t="str">
        <f>IFERROR(__xludf.DUMMYFUNCTION("""COMPUTED_VALUE"""),"no")</f>
        <v>no</v>
      </c>
      <c r="R23" s="5" t="str">
        <f>IFERROR(__xludf.DUMMYFUNCTION("""COMPUTED_VALUE"""),"CLR")</f>
        <v>CLR</v>
      </c>
      <c r="S23" s="5"/>
      <c r="T23" s="6" t="str">
        <f>IFERROR(__xludf.DUMMYFUNCTION("""COMPUTED_VALUE"""),"Pool")</f>
        <v>Pool</v>
      </c>
      <c r="U23" s="6">
        <f>IFERROR(__xludf.DUMMYFUNCTION("""COMPUTED_VALUE"""),2020.0)</f>
        <v>2020</v>
      </c>
      <c r="V23" s="6" t="str">
        <f>IFERROR(__xludf.DUMMYFUNCTION("""COMPUTED_VALUE"""),"yes")</f>
        <v>yes</v>
      </c>
      <c r="W23" s="6" t="str">
        <f>IFERROR(__xludf.DUMMYFUNCTION("""COMPUTED_VALUE"""),"Kubica")</f>
        <v>Kubica</v>
      </c>
      <c r="X23" s="5"/>
      <c r="Y23" s="5" t="str">
        <f>IFERROR(__xludf.DUMMYFUNCTION("""COMPUTED_VALUE"""),"released")</f>
        <v>released</v>
      </c>
      <c r="Z23" s="5" t="str">
        <f>IFERROR(__xludf.DUMMYFUNCTION("""COMPUTED_VALUE"""),"NA")</f>
        <v>NA</v>
      </c>
      <c r="AA23" s="5" t="str">
        <f>IFERROR(__xludf.DUMMYFUNCTION("""COMPUTED_VALUE"""),"NA")</f>
        <v>NA</v>
      </c>
      <c r="AB23" s="5"/>
    </row>
    <row r="24">
      <c r="A24" s="5">
        <f>IFERROR(__xludf.DUMMYFUNCTION("""COMPUTED_VALUE"""),100022.0)</f>
        <v>100022</v>
      </c>
      <c r="B24" s="5" t="str">
        <f>IFERROR(__xludf.DUMMYFUNCTION("""COMPUTED_VALUE"""),"KBS-Mac-74")</f>
        <v>KBS-Mac-74</v>
      </c>
      <c r="C24" s="5">
        <f>IFERROR(__xludf.DUMMYFUNCTION("""COMPUTED_VALUE"""),1741.0)</f>
        <v>1741</v>
      </c>
      <c r="D24" s="5"/>
      <c r="E24" s="5"/>
      <c r="F24" s="5">
        <f>IFERROR(__xludf.DUMMYFUNCTION("""COMPUTED_VALUE"""),1.0)</f>
        <v>1</v>
      </c>
      <c r="G24" s="5"/>
      <c r="H24" s="5"/>
      <c r="I24" s="5"/>
      <c r="J24" s="5"/>
      <c r="K24" s="5">
        <f>IFERROR(__xludf.DUMMYFUNCTION("""COMPUTED_VALUE"""),42.405)</f>
        <v>42.405</v>
      </c>
      <c r="L24" s="5">
        <f>IFERROR(__xludf.DUMMYFUNCTION("""COMPUTED_VALUE"""),-85.398)</f>
        <v>-85.398</v>
      </c>
      <c r="M24" s="5"/>
      <c r="N24" s="5">
        <f>IFERROR(__xludf.DUMMYFUNCTION("""COMPUTED_VALUE"""),12.0)</f>
        <v>12</v>
      </c>
      <c r="O24" s="5"/>
      <c r="P24" s="5"/>
      <c r="Q24" s="5" t="str">
        <f>IFERROR(__xludf.DUMMYFUNCTION("""COMPUTED_VALUE"""),"no")</f>
        <v>no</v>
      </c>
      <c r="R24" s="5" t="str">
        <f>IFERROR(__xludf.DUMMYFUNCTION("""COMPUTED_VALUE"""),"CLR")</f>
        <v>CLR</v>
      </c>
      <c r="S24" s="5"/>
      <c r="T24" s="6" t="str">
        <f>IFERROR(__xludf.DUMMYFUNCTION("""COMPUTED_VALUE"""),"Pool")</f>
        <v>Pool</v>
      </c>
      <c r="U24" s="6">
        <f>IFERROR(__xludf.DUMMYFUNCTION("""COMPUTED_VALUE"""),2020.0)</f>
        <v>2020</v>
      </c>
      <c r="V24" s="6" t="str">
        <f>IFERROR(__xludf.DUMMYFUNCTION("""COMPUTED_VALUE"""),"yes")</f>
        <v>yes</v>
      </c>
      <c r="W24" s="6" t="str">
        <f>IFERROR(__xludf.DUMMYFUNCTION("""COMPUTED_VALUE"""),"Kubica")</f>
        <v>Kubica</v>
      </c>
      <c r="X24" s="5"/>
      <c r="Y24" s="5" t="str">
        <f>IFERROR(__xludf.DUMMYFUNCTION("""COMPUTED_VALUE"""),"released")</f>
        <v>released</v>
      </c>
      <c r="Z24" s="5" t="str">
        <f>IFERROR(__xludf.DUMMYFUNCTION("""COMPUTED_VALUE"""),"NA")</f>
        <v>NA</v>
      </c>
      <c r="AA24" s="5" t="str">
        <f>IFERROR(__xludf.DUMMYFUNCTION("""COMPUTED_VALUE"""),"NA")</f>
        <v>NA</v>
      </c>
      <c r="AB24" s="5"/>
    </row>
    <row r="25">
      <c r="A25" s="5">
        <f>IFERROR(__xludf.DUMMYFUNCTION("""COMPUTED_VALUE"""),100023.0)</f>
        <v>100023</v>
      </c>
      <c r="B25" s="5" t="str">
        <f>IFERROR(__xludf.DUMMYFUNCTION("""COMPUTED_VALUE"""),"Col-0")</f>
        <v>Col-0</v>
      </c>
      <c r="C25" s="5">
        <f>IFERROR(__xludf.DUMMYFUNCTION("""COMPUTED_VALUE"""),6909.0)</f>
        <v>6909</v>
      </c>
      <c r="D25" s="5"/>
      <c r="E25" s="5"/>
      <c r="F25" s="5">
        <f>IFERROR(__xludf.DUMMYFUNCTION("""COMPUTED_VALUE"""),1.0)</f>
        <v>1</v>
      </c>
      <c r="G25" s="5"/>
      <c r="H25" s="5" t="b">
        <f>IFERROR(__xludf.DUMMYFUNCTION("""COMPUTED_VALUE"""),FALSE)</f>
        <v>0</v>
      </c>
      <c r="I25" s="5"/>
      <c r="J25" s="5"/>
      <c r="K25" s="5">
        <f>IFERROR(__xludf.DUMMYFUNCTION("""COMPUTED_VALUE"""),38.3)</f>
        <v>38.3</v>
      </c>
      <c r="L25" s="5">
        <f>IFERROR(__xludf.DUMMYFUNCTION("""COMPUTED_VALUE"""),-92.3)</f>
        <v>-92.3</v>
      </c>
      <c r="M25" s="5"/>
      <c r="N25" s="5">
        <f>IFERROR(__xludf.DUMMYFUNCTION("""COMPUTED_VALUE"""),23.0)</f>
        <v>23</v>
      </c>
      <c r="O25" s="5"/>
      <c r="P25" s="5"/>
      <c r="Q25" s="5" t="str">
        <f>IFERROR(__xludf.DUMMYFUNCTION("""COMPUTED_VALUE"""),"no")</f>
        <v>no</v>
      </c>
      <c r="R25" s="5" t="str">
        <f>IFERROR(__xludf.DUMMYFUNCTION("""COMPUTED_VALUE"""),"CLR")</f>
        <v>CLR</v>
      </c>
      <c r="S25" s="5"/>
      <c r="T25" s="6" t="str">
        <f>IFERROR(__xludf.DUMMYFUNCTION("""COMPUTED_VALUE"""),"Pool")</f>
        <v>Pool</v>
      </c>
      <c r="U25" s="6">
        <f>IFERROR(__xludf.DUMMYFUNCTION("""COMPUTED_VALUE"""),2020.0)</f>
        <v>2020</v>
      </c>
      <c r="V25" s="6" t="str">
        <f>IFERROR(__xludf.DUMMYFUNCTION("""COMPUTED_VALUE"""),"yes")</f>
        <v>yes</v>
      </c>
      <c r="W25" s="6" t="str">
        <f>IFERROR(__xludf.DUMMYFUNCTION("""COMPUTED_VALUE"""),"Kubica")</f>
        <v>Kubica</v>
      </c>
      <c r="X25" s="5"/>
      <c r="Y25" s="5" t="str">
        <f>IFERROR(__xludf.DUMMYFUNCTION("""COMPUTED_VALUE"""),"released")</f>
        <v>released</v>
      </c>
      <c r="Z25" s="5" t="str">
        <f>IFERROR(__xludf.DUMMYFUNCTION("""COMPUTED_VALUE"""),"NA")</f>
        <v>NA</v>
      </c>
      <c r="AA25" s="5" t="str">
        <f>IFERROR(__xludf.DUMMYFUNCTION("""COMPUTED_VALUE"""),"NA")</f>
        <v>NA</v>
      </c>
      <c r="AB25" s="5"/>
    </row>
    <row r="26">
      <c r="A26" s="5">
        <f>IFERROR(__xludf.DUMMYFUNCTION("""COMPUTED_VALUE"""),100024.0)</f>
        <v>100024</v>
      </c>
      <c r="B26" s="5" t="str">
        <f>IFERROR(__xludf.DUMMYFUNCTION("""COMPUTED_VALUE"""),"Col-0")</f>
        <v>Col-0</v>
      </c>
      <c r="C26" s="5">
        <f>IFERROR(__xludf.DUMMYFUNCTION("""COMPUTED_VALUE"""),6909.0)</f>
        <v>6909</v>
      </c>
      <c r="D26" s="5" t="str">
        <f>IFERROR(__xludf.DUMMYFUNCTION("""COMPUTED_VALUE"""),"Col-CEN")</f>
        <v>Col-CEN</v>
      </c>
      <c r="E26" s="5"/>
      <c r="F26" s="5">
        <f>IFERROR(__xludf.DUMMYFUNCTION("""COMPUTED_VALUE"""),1.0)</f>
        <v>1</v>
      </c>
      <c r="G26" s="5"/>
      <c r="H26" s="5" t="b">
        <f>IFERROR(__xludf.DUMMYFUNCTION("""COMPUTED_VALUE"""),FALSE)</f>
        <v>0</v>
      </c>
      <c r="I26" s="5"/>
      <c r="J26" s="5"/>
      <c r="K26" s="5"/>
      <c r="L26" s="5"/>
      <c r="M26" s="5"/>
      <c r="N26" s="5">
        <f>IFERROR(__xludf.DUMMYFUNCTION("""COMPUTED_VALUE"""),0.0)</f>
        <v>0</v>
      </c>
      <c r="O26" s="5"/>
      <c r="P26" s="5"/>
      <c r="Q26" s="5" t="str">
        <f>IFERROR(__xludf.DUMMYFUNCTION("""COMPUTED_VALUE"""),"no")</f>
        <v>no</v>
      </c>
      <c r="R26" s="5" t="str">
        <f>IFERROR(__xludf.DUMMYFUNCTION("""COMPUTED_VALUE"""),"ONT-HiFI")</f>
        <v>ONT-HiFI</v>
      </c>
      <c r="S26" s="5" t="str">
        <f>IFERROR(__xludf.DUMMYFUNCTION("""COMPUTED_VALUE"""),"Flye_v2.7")</f>
        <v>Flye_v2.7</v>
      </c>
      <c r="T26" s="6" t="str">
        <f>IFERROR(__xludf.DUMMYFUNCTION("""COMPUTED_VALUE"""),"Pool")</f>
        <v>Pool</v>
      </c>
      <c r="U26" s="6">
        <f>IFERROR(__xludf.DUMMYFUNCTION("""COMPUTED_VALUE"""),2021.0)</f>
        <v>2021</v>
      </c>
      <c r="V26" s="6" t="str">
        <f>IFERROR(__xludf.DUMMYFUNCTION("""COMPUTED_VALUE"""),"yes")</f>
        <v>yes</v>
      </c>
      <c r="W26" s="6" t="str">
        <f>IFERROR(__xludf.DUMMYFUNCTION("""COMPUTED_VALUE"""),"Naish")</f>
        <v>Naish</v>
      </c>
      <c r="X26" s="5">
        <f>IFERROR(__xludf.DUMMYFUNCTION("""COMPUTED_VALUE"""),2021.0)</f>
        <v>2021</v>
      </c>
      <c r="Y26" s="5" t="str">
        <f>IFERROR(__xludf.DUMMYFUNCTION("""COMPUTED_VALUE"""),"Science")</f>
        <v>Science</v>
      </c>
      <c r="Z26" s="7" t="str">
        <f>IFERROR(__xludf.DUMMYFUNCTION("""COMPUTED_VALUE"""),"10.1126/science.abi7489")</f>
        <v>10.1126/science.abi7489</v>
      </c>
      <c r="AA26" s="7" t="str">
        <f>IFERROR(__xludf.DUMMYFUNCTION("""COMPUTED_VALUE"""),"https://www.science.org/doi/10.1126/science.abi7489")</f>
        <v>https://www.science.org/doi/10.1126/science.abi7489</v>
      </c>
      <c r="AB26" s="5"/>
    </row>
    <row r="27">
      <c r="A27" s="5">
        <f>IFERROR(__xludf.DUMMYFUNCTION("""COMPUTED_VALUE"""),100025.0)</f>
        <v>100025</v>
      </c>
      <c r="B27" s="5" t="str">
        <f>IFERROR(__xludf.DUMMYFUNCTION("""COMPUTED_VALUE"""),"Col-0")</f>
        <v>Col-0</v>
      </c>
      <c r="C27" s="5">
        <f>IFERROR(__xludf.DUMMYFUNCTION("""COMPUTED_VALUE"""),6909.0)</f>
        <v>6909</v>
      </c>
      <c r="D27" s="5" t="str">
        <f>IFERROR(__xludf.DUMMYFUNCTION("""COMPUTED_VALUE"""),"Col-XJTU")</f>
        <v>Col-XJTU</v>
      </c>
      <c r="E27" s="5"/>
      <c r="F27" s="5">
        <f>IFERROR(__xludf.DUMMYFUNCTION("""COMPUTED_VALUE"""),1.0)</f>
        <v>1</v>
      </c>
      <c r="G27" s="5"/>
      <c r="H27" s="5" t="b">
        <f>IFERROR(__xludf.DUMMYFUNCTION("""COMPUTED_VALUE"""),FALSE)</f>
        <v>0</v>
      </c>
      <c r="I27" s="5"/>
      <c r="J27" s="5"/>
      <c r="K27" s="5"/>
      <c r="L27" s="5"/>
      <c r="M27" s="5"/>
      <c r="N27" s="5">
        <f>IFERROR(__xludf.DUMMYFUNCTION("""COMPUTED_VALUE"""),2.0)</f>
        <v>2</v>
      </c>
      <c r="O27" s="5"/>
      <c r="P27" s="5"/>
      <c r="Q27" s="5" t="str">
        <f>IFERROR(__xludf.DUMMYFUNCTION("""COMPUTED_VALUE"""),"no")</f>
        <v>no</v>
      </c>
      <c r="R27" s="5" t="str">
        <f>IFERROR(__xludf.DUMMYFUNCTION("""COMPUTED_VALUE"""),"ONT-HiFi")</f>
        <v>ONT-HiFi</v>
      </c>
      <c r="S27" s="5" t="str">
        <f>IFERROR(__xludf.DUMMYFUNCTION("""COMPUTED_VALUE"""),"NextDenovo_v.2.0_hifiasm_v.0.14-r312")</f>
        <v>NextDenovo_v.2.0_hifiasm_v.0.14-r312</v>
      </c>
      <c r="T27" s="6" t="str">
        <f>IFERROR(__xludf.DUMMYFUNCTION("""COMPUTED_VALUE"""),"Pool")</f>
        <v>Pool</v>
      </c>
      <c r="U27" s="6">
        <f>IFERROR(__xludf.DUMMYFUNCTION("""COMPUTED_VALUE"""),2021.0)</f>
        <v>2021</v>
      </c>
      <c r="V27" s="6" t="str">
        <f>IFERROR(__xludf.DUMMYFUNCTION("""COMPUTED_VALUE"""),"yes")</f>
        <v>yes</v>
      </c>
      <c r="W27" s="6" t="str">
        <f>IFERROR(__xludf.DUMMYFUNCTION("""COMPUTED_VALUE"""),"Wang")</f>
        <v>Wang</v>
      </c>
      <c r="X27" s="5">
        <f>IFERROR(__xludf.DUMMYFUNCTION("""COMPUTED_VALUE"""),2022.0)</f>
        <v>2022</v>
      </c>
      <c r="Y27" s="5" t="str">
        <f>IFERROR(__xludf.DUMMYFUNCTION("""COMPUTED_VALUE"""),"GenomicsProteomicsBioinformatics")</f>
        <v>GenomicsProteomicsBioinformatics</v>
      </c>
      <c r="Z27" s="7" t="str">
        <f>IFERROR(__xludf.DUMMYFUNCTION("""COMPUTED_VALUE"""),"10.1016/j.gpb.2021.08.003")</f>
        <v>10.1016/j.gpb.2021.08.003</v>
      </c>
      <c r="AA27" s="7" t="str">
        <f>IFERROR(__xludf.DUMMYFUNCTION("""COMPUTED_VALUE"""),"https://academic.oup.com/gpb/article/20/1/4/7230403?login=true")</f>
        <v>https://academic.oup.com/gpb/article/20/1/4/7230403?login=true</v>
      </c>
      <c r="AB27" s="5"/>
    </row>
    <row r="28">
      <c r="A28" s="5">
        <f>IFERROR(__xludf.DUMMYFUNCTION("""COMPUTED_VALUE"""),100026.0)</f>
        <v>100026</v>
      </c>
      <c r="B28" s="5" t="str">
        <f>IFERROR(__xludf.DUMMYFUNCTION("""COMPUTED_VALUE"""),"Col-0")</f>
        <v>Col-0</v>
      </c>
      <c r="C28" s="5">
        <f>IFERROR(__xludf.DUMMYFUNCTION("""COMPUTED_VALUE"""),6909.0)</f>
        <v>6909</v>
      </c>
      <c r="D28" s="5" t="str">
        <f>IFERROR(__xludf.DUMMYFUNCTION("""COMPUTED_VALUE"""),"Col-PEK")</f>
        <v>Col-PEK</v>
      </c>
      <c r="E28" s="5">
        <f>IFERROR(__xludf.DUMMYFUNCTION("""COMPUTED_VALUE"""),100026.0)</f>
        <v>100026</v>
      </c>
      <c r="F28" s="5">
        <f>IFERROR(__xludf.DUMMYFUNCTION("""COMPUTED_VALUE"""),1.0)</f>
        <v>1</v>
      </c>
      <c r="G28" s="5"/>
      <c r="H28" s="5" t="b">
        <f>IFERROR(__xludf.DUMMYFUNCTION("""COMPUTED_VALUE"""),FALSE)</f>
        <v>0</v>
      </c>
      <c r="I28" s="5"/>
      <c r="J28" s="5"/>
      <c r="K28" s="5"/>
      <c r="L28" s="5"/>
      <c r="M28" s="5"/>
      <c r="N28" s="5">
        <f>IFERROR(__xludf.DUMMYFUNCTION("""COMPUTED_VALUE"""),0.0)</f>
        <v>0</v>
      </c>
      <c r="O28" s="5"/>
      <c r="P28" s="5"/>
      <c r="Q28" s="5" t="str">
        <f>IFERROR(__xludf.DUMMYFUNCTION("""COMPUTED_VALUE"""),"no")</f>
        <v>no</v>
      </c>
      <c r="R28" s="5" t="str">
        <f>IFERROR(__xludf.DUMMYFUNCTION("""COMPUTED_VALUE"""),"ONT-HiFi")</f>
        <v>ONT-HiFi</v>
      </c>
      <c r="S28" s="5" t="str">
        <f>IFERROR(__xludf.DUMMYFUNCTION("""COMPUTED_VALUE"""),"NextDenovo_v2.3.1_HiFiasm_v0.16.1-r375")</f>
        <v>NextDenovo_v2.3.1_HiFiasm_v0.16.1-r375</v>
      </c>
      <c r="T28" s="6" t="str">
        <f>IFERROR(__xludf.DUMMYFUNCTION("""COMPUTED_VALUE"""),"Pool")</f>
        <v>Pool</v>
      </c>
      <c r="U28" s="6">
        <f>IFERROR(__xludf.DUMMYFUNCTION("""COMPUTED_VALUE"""),2021.0)</f>
        <v>2021</v>
      </c>
      <c r="V28" s="6" t="str">
        <f>IFERROR(__xludf.DUMMYFUNCTION("""COMPUTED_VALUE"""),"yes")</f>
        <v>yes</v>
      </c>
      <c r="W28" s="6" t="str">
        <f>IFERROR(__xludf.DUMMYFUNCTION("""COMPUTED_VALUE"""),"Hou")</f>
        <v>Hou</v>
      </c>
      <c r="X28" s="5">
        <f>IFERROR(__xludf.DUMMYFUNCTION("""COMPUTED_VALUE"""),2022.0)</f>
        <v>2022</v>
      </c>
      <c r="Y28" s="5" t="str">
        <f>IFERROR(__xludf.DUMMYFUNCTION("""COMPUTED_VALUE"""),"MolPlant")</f>
        <v>MolPlant</v>
      </c>
      <c r="Z28" s="7" t="str">
        <f>IFERROR(__xludf.DUMMYFUNCTION("""COMPUTED_VALUE"""),"10.1016/j.molp.2022.05.014")</f>
        <v>10.1016/j.molp.2022.05.014</v>
      </c>
      <c r="AA28" s="7" t="str">
        <f>IFERROR(__xludf.DUMMYFUNCTION("""COMPUTED_VALUE"""),"https://www.sciencedirect.com/science/article/pii/S1674205222001812?via%3Dihub")</f>
        <v>https://www.sciencedirect.com/science/article/pii/S1674205222001812?via%3Dihub</v>
      </c>
      <c r="AB28" s="5"/>
    </row>
    <row r="29">
      <c r="A29" s="5">
        <f>IFERROR(__xludf.DUMMYFUNCTION("""COMPUTED_VALUE"""),100027.0)</f>
        <v>100027</v>
      </c>
      <c r="B29" s="5" t="str">
        <f>IFERROR(__xludf.DUMMYFUNCTION("""COMPUTED_VALUE"""),"Col-0")</f>
        <v>Col-0</v>
      </c>
      <c r="C29" s="5">
        <f>IFERROR(__xludf.DUMMYFUNCTION("""COMPUTED_VALUE"""),6909.0)</f>
        <v>6909</v>
      </c>
      <c r="D29" s="5" t="str">
        <f>IFERROR(__xludf.DUMMYFUNCTION("""COMPUTED_VALUE"""),"Col-PEK")</f>
        <v>Col-PEK</v>
      </c>
      <c r="E29" s="5">
        <f>IFERROR(__xludf.DUMMYFUNCTION("""COMPUTED_VALUE"""),100026.0)</f>
        <v>100026</v>
      </c>
      <c r="F29" s="5">
        <f>IFERROR(__xludf.DUMMYFUNCTION("""COMPUTED_VALUE"""),2.0)</f>
        <v>2</v>
      </c>
      <c r="G29" s="5"/>
      <c r="H29" s="5" t="b">
        <f>IFERROR(__xludf.DUMMYFUNCTION("""COMPUTED_VALUE"""),FALSE)</f>
        <v>0</v>
      </c>
      <c r="I29" s="5"/>
      <c r="J29" s="5"/>
      <c r="K29" s="5"/>
      <c r="L29" s="5"/>
      <c r="M29" s="5"/>
      <c r="N29" s="5">
        <f>IFERROR(__xludf.DUMMYFUNCTION("""COMPUTED_VALUE"""),5.0)</f>
        <v>5</v>
      </c>
      <c r="O29" s="5"/>
      <c r="P29" s="5"/>
      <c r="Q29" s="5" t="str">
        <f>IFERROR(__xludf.DUMMYFUNCTION("""COMPUTED_VALUE"""),"no")</f>
        <v>no</v>
      </c>
      <c r="R29" s="5" t="str">
        <f>IFERROR(__xludf.DUMMYFUNCTION("""COMPUTED_VALUE"""),"ONT-HiFi")</f>
        <v>ONT-HiFi</v>
      </c>
      <c r="S29" s="5" t="str">
        <f>IFERROR(__xludf.DUMMYFUNCTION("""COMPUTED_VALUE"""),"NextDenovo_v2.3.1_HiFiasm_v0.16.1-r375")</f>
        <v>NextDenovo_v2.3.1_HiFiasm_v0.16.1-r375</v>
      </c>
      <c r="T29" s="6" t="str">
        <f>IFERROR(__xludf.DUMMYFUNCTION("""COMPUTED_VALUE"""),"Pool")</f>
        <v>Pool</v>
      </c>
      <c r="U29" s="6">
        <f>IFERROR(__xludf.DUMMYFUNCTION("""COMPUTED_VALUE"""),2023.0)</f>
        <v>2023</v>
      </c>
      <c r="V29" s="6" t="str">
        <f>IFERROR(__xludf.DUMMYFUNCTION("""COMPUTED_VALUE"""),"yes")</f>
        <v>yes</v>
      </c>
      <c r="W29" s="6" t="str">
        <f>IFERROR(__xludf.DUMMYFUNCTION("""COMPUTED_VALUE"""),"Hou")</f>
        <v>Hou</v>
      </c>
      <c r="X29" s="5">
        <f>IFERROR(__xludf.DUMMYFUNCTION("""COMPUTED_VALUE"""),2022.0)</f>
        <v>2022</v>
      </c>
      <c r="Y29" s="5" t="str">
        <f>IFERROR(__xludf.DUMMYFUNCTION("""COMPUTED_VALUE"""),"MolPlant")</f>
        <v>MolPlant</v>
      </c>
      <c r="Z29" s="7" t="str">
        <f>IFERROR(__xludf.DUMMYFUNCTION("""COMPUTED_VALUE"""),"10.1016/j.molp.2022.05.014")</f>
        <v>10.1016/j.molp.2022.05.014</v>
      </c>
      <c r="AA29" s="7" t="str">
        <f>IFERROR(__xludf.DUMMYFUNCTION("""COMPUTED_VALUE"""),"https://www.sciencedirect.com/science/article/pii/S1674205222001812?via%3Dihub")</f>
        <v>https://www.sciencedirect.com/science/article/pii/S1674205222001812?via%3Dihub</v>
      </c>
      <c r="AB29" s="5"/>
    </row>
    <row r="30">
      <c r="A30" s="5">
        <f>IFERROR(__xludf.DUMMYFUNCTION("""COMPUTED_VALUE"""),100028.0)</f>
        <v>100028</v>
      </c>
      <c r="B30" s="5" t="str">
        <f>IFERROR(__xludf.DUMMYFUNCTION("""COMPUTED_VALUE"""),"Ey15-2")</f>
        <v>Ey15-2</v>
      </c>
      <c r="C30" s="5">
        <f>IFERROR(__xludf.DUMMYFUNCTION("""COMPUTED_VALUE"""),9994.0)</f>
        <v>9994</v>
      </c>
      <c r="D30" s="5"/>
      <c r="E30" s="5"/>
      <c r="F30" s="5">
        <f>IFERROR(__xludf.DUMMYFUNCTION("""COMPUTED_VALUE"""),1.0)</f>
        <v>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 t="str">
        <f>IFERROR(__xludf.DUMMYFUNCTION("""COMPUTED_VALUE"""),"no")</f>
        <v>no</v>
      </c>
      <c r="R30" s="5" t="str">
        <f>IFERROR(__xludf.DUMMYFUNCTION("""COMPUTED_VALUE"""),"CLR")</f>
        <v>CLR</v>
      </c>
      <c r="S30" s="5" t="str">
        <f>IFERROR(__xludf.DUMMYFUNCTION("""COMPUTED_VALUE"""),"Canu_v2.0")</f>
        <v>Canu_v2.0</v>
      </c>
      <c r="T30" s="6" t="str">
        <f>IFERROR(__xludf.DUMMYFUNCTION("""COMPUTED_VALUE"""),"Pool")</f>
        <v>Pool</v>
      </c>
      <c r="U30" s="6">
        <f>IFERROR(__xludf.DUMMYFUNCTION("""COMPUTED_VALUE"""),2024.0)</f>
        <v>2024</v>
      </c>
      <c r="V30" s="6" t="str">
        <f>IFERROR(__xludf.DUMMYFUNCTION("""COMPUTED_VALUE"""),"yes")</f>
        <v>yes</v>
      </c>
      <c r="W30" s="6" t="str">
        <f>IFERROR(__xludf.DUMMYFUNCTION("""COMPUTED_VALUE"""),"Rabanal")</f>
        <v>Rabanal</v>
      </c>
      <c r="X30" s="5">
        <f>IFERROR(__xludf.DUMMYFUNCTION("""COMPUTED_VALUE"""),2022.0)</f>
        <v>2022</v>
      </c>
      <c r="Y30" s="5" t="str">
        <f>IFERROR(__xludf.DUMMYFUNCTION("""COMPUTED_VALUE"""),"NucleicAcidsRes")</f>
        <v>NucleicAcidsRes</v>
      </c>
      <c r="Z30" s="7" t="str">
        <f>IFERROR(__xludf.DUMMYFUNCTION("""COMPUTED_VALUE"""),"10.1093/nar/gkac1115")</f>
        <v>10.1093/nar/gkac1115</v>
      </c>
      <c r="AA30" s="7" t="str">
        <f>IFERROR(__xludf.DUMMYFUNCTION("""COMPUTED_VALUE"""),"https://doi.org/10.1093/nar/gkac1115")</f>
        <v>https://doi.org/10.1093/nar/gkac1115</v>
      </c>
      <c r="AB30" s="5"/>
    </row>
    <row r="31">
      <c r="A31" s="5">
        <f>IFERROR(__xludf.DUMMYFUNCTION("""COMPUTED_VALUE"""),100029.0)</f>
        <v>100029</v>
      </c>
      <c r="B31" s="5" t="str">
        <f>IFERROR(__xludf.DUMMYFUNCTION("""COMPUTED_VALUE"""),"Ey15-2")</f>
        <v>Ey15-2</v>
      </c>
      <c r="C31" s="5">
        <f>IFERROR(__xludf.DUMMYFUNCTION("""COMPUTED_VALUE"""),9994.0)</f>
        <v>9994</v>
      </c>
      <c r="D31" s="5"/>
      <c r="E31" s="5"/>
      <c r="F31" s="5">
        <f>IFERROR(__xludf.DUMMYFUNCTION("""COMPUTED_VALUE"""),1.0)</f>
        <v>1</v>
      </c>
      <c r="G31" s="5"/>
      <c r="H31" s="5"/>
      <c r="I31" s="5"/>
      <c r="J31" s="5" t="str">
        <f>IFERROR(__xludf.DUMMYFUNCTION("""COMPUTED_VALUE"""),"CS76399")</f>
        <v>CS76399</v>
      </c>
      <c r="K31" s="5"/>
      <c r="L31" s="5"/>
      <c r="M31" s="5"/>
      <c r="N31" s="5">
        <f>IFERROR(__xludf.DUMMYFUNCTION("""COMPUTED_VALUE"""),1.0)</f>
        <v>1</v>
      </c>
      <c r="O31" s="5"/>
      <c r="P31" s="5"/>
      <c r="Q31" s="5" t="str">
        <f>IFERROR(__xludf.DUMMYFUNCTION("""COMPUTED_VALUE"""),"yes")</f>
        <v>yes</v>
      </c>
      <c r="R31" s="5" t="str">
        <f>IFERROR(__xludf.DUMMYFUNCTION("""COMPUTED_VALUE"""),"HiFi")</f>
        <v>HiFi</v>
      </c>
      <c r="S31" s="5" t="str">
        <f>IFERROR(__xludf.DUMMYFUNCTION("""COMPUTED_VALUE"""),"hifiasm_v0.13-r308")</f>
        <v>hifiasm_v0.13-r308</v>
      </c>
      <c r="T31" s="6" t="str">
        <f>IFERROR(__xludf.DUMMYFUNCTION("""COMPUTED_VALUE"""),"Pool")</f>
        <v>Pool</v>
      </c>
      <c r="U31" s="6">
        <f>IFERROR(__xludf.DUMMYFUNCTION("""COMPUTED_VALUE"""),2022.0)</f>
        <v>2022</v>
      </c>
      <c r="V31" s="6" t="str">
        <f>IFERROR(__xludf.DUMMYFUNCTION("""COMPUTED_VALUE"""),"yes")</f>
        <v>yes</v>
      </c>
      <c r="W31" s="6" t="str">
        <f>IFERROR(__xludf.DUMMYFUNCTION("""COMPUTED_VALUE"""),"Rabanal")</f>
        <v>Rabanal</v>
      </c>
      <c r="X31" s="5">
        <f>IFERROR(__xludf.DUMMYFUNCTION("""COMPUTED_VALUE"""),2022.0)</f>
        <v>2022</v>
      </c>
      <c r="Y31" s="5" t="str">
        <f>IFERROR(__xludf.DUMMYFUNCTION("""COMPUTED_VALUE"""),"NucleicAcidsRes")</f>
        <v>NucleicAcidsRes</v>
      </c>
      <c r="Z31" s="7" t="str">
        <f>IFERROR(__xludf.DUMMYFUNCTION("""COMPUTED_VALUE"""),"10.1093/nar/gkac1115")</f>
        <v>10.1093/nar/gkac1115</v>
      </c>
      <c r="AA31" s="7" t="str">
        <f>IFERROR(__xludf.DUMMYFUNCTION("""COMPUTED_VALUE"""),"https://doi.org/10.1093/nar/gkac1115")</f>
        <v>https://doi.org/10.1093/nar/gkac1115</v>
      </c>
      <c r="AB31" s="5"/>
    </row>
    <row r="32">
      <c r="A32" s="5">
        <f>IFERROR(__xludf.DUMMYFUNCTION("""COMPUTED_VALUE"""),100030.0)</f>
        <v>100030</v>
      </c>
      <c r="B32" s="5" t="str">
        <f>IFERROR(__xludf.DUMMYFUNCTION("""COMPUTED_VALUE"""),"Col-0")</f>
        <v>Col-0</v>
      </c>
      <c r="C32" s="5">
        <f>IFERROR(__xludf.DUMMYFUNCTION("""COMPUTED_VALUE"""),6909.0)</f>
        <v>6909</v>
      </c>
      <c r="D32" s="5"/>
      <c r="E32" s="5"/>
      <c r="F32" s="5">
        <f>IFERROR(__xludf.DUMMYFUNCTION("""COMPUTED_VALUE"""),1.0)</f>
        <v>1</v>
      </c>
      <c r="G32" s="5"/>
      <c r="H32" s="5" t="b">
        <f>IFERROR(__xludf.DUMMYFUNCTION("""COMPUTED_VALUE"""),FALSE)</f>
        <v>0</v>
      </c>
      <c r="I32" s="5"/>
      <c r="J32" s="5" t="str">
        <f>IFERROR(__xludf.DUMMYFUNCTION("""COMPUTED_VALUE"""),"CS76778")</f>
        <v>CS76778</v>
      </c>
      <c r="K32" s="5"/>
      <c r="L32" s="5"/>
      <c r="M32" s="5"/>
      <c r="N32" s="5">
        <f>IFERROR(__xludf.DUMMYFUNCTION("""COMPUTED_VALUE"""),9.0)</f>
        <v>9</v>
      </c>
      <c r="O32" s="5"/>
      <c r="P32" s="5"/>
      <c r="Q32" s="5" t="str">
        <f>IFERROR(__xludf.DUMMYFUNCTION("""COMPUTED_VALUE"""),"no")</f>
        <v>no</v>
      </c>
      <c r="R32" s="5" t="str">
        <f>IFERROR(__xludf.DUMMYFUNCTION("""COMPUTED_VALUE"""),"HiFi")</f>
        <v>HiFi</v>
      </c>
      <c r="S32" s="5" t="str">
        <f>IFERROR(__xludf.DUMMYFUNCTION("""COMPUTED_VALUE"""),"hifiasm_v0.16.1-r375")</f>
        <v>hifiasm_v0.16.1-r375</v>
      </c>
      <c r="T32" s="6" t="str">
        <f>IFERROR(__xludf.DUMMYFUNCTION("""COMPUTED_VALUE"""),"Individual")</f>
        <v>Individual</v>
      </c>
      <c r="U32" s="6">
        <f>IFERROR(__xludf.DUMMYFUNCTION("""COMPUTED_VALUE"""),2022.0)</f>
        <v>2022</v>
      </c>
      <c r="V32" s="6" t="str">
        <f>IFERROR(__xludf.DUMMYFUNCTION("""COMPUTED_VALUE"""),"yes")</f>
        <v>yes</v>
      </c>
      <c r="W32" s="6" t="str">
        <f>IFERROR(__xludf.DUMMYFUNCTION("""COMPUTED_VALUE"""),"Rabanal")</f>
        <v>Rabanal</v>
      </c>
      <c r="X32" s="5">
        <f>IFERROR(__xludf.DUMMYFUNCTION("""COMPUTED_VALUE"""),2022.0)</f>
        <v>2022</v>
      </c>
      <c r="Y32" s="5" t="str">
        <f>IFERROR(__xludf.DUMMYFUNCTION("""COMPUTED_VALUE"""),"NucleicAcidsRes")</f>
        <v>NucleicAcidsRes</v>
      </c>
      <c r="Z32" s="7" t="str">
        <f>IFERROR(__xludf.DUMMYFUNCTION("""COMPUTED_VALUE"""),"10.1093/nar/gkac1115")</f>
        <v>10.1093/nar/gkac1115</v>
      </c>
      <c r="AA32" s="7" t="str">
        <f>IFERROR(__xludf.DUMMYFUNCTION("""COMPUTED_VALUE"""),"https://doi.org/10.1093/nar/gkac1115")</f>
        <v>https://doi.org/10.1093/nar/gkac1115</v>
      </c>
      <c r="AB32" s="5"/>
    </row>
    <row r="33">
      <c r="A33" s="5">
        <f>IFERROR(__xludf.DUMMYFUNCTION("""COMPUTED_VALUE"""),100031.0)</f>
        <v>100031</v>
      </c>
      <c r="B33" s="5" t="str">
        <f>IFERROR(__xludf.DUMMYFUNCTION("""COMPUTED_VALUE"""),"Kew-1")</f>
        <v>Kew-1</v>
      </c>
      <c r="C33" s="5">
        <f>IFERROR(__xludf.DUMMYFUNCTION("""COMPUTED_VALUE"""),22008.0)</f>
        <v>22008</v>
      </c>
      <c r="D33" s="5"/>
      <c r="E33" s="5"/>
      <c r="F33" s="5">
        <f>IFERROR(__xludf.DUMMYFUNCTION("""COMPUTED_VALUE"""),1.0)</f>
        <v>1</v>
      </c>
      <c r="G33" s="5"/>
      <c r="H33" s="5"/>
      <c r="I33" s="5"/>
      <c r="J33" s="5"/>
      <c r="K33" s="5">
        <f>IFERROR(__xludf.DUMMYFUNCTION("""COMPUTED_VALUE"""),51.4819)</f>
        <v>51.4819</v>
      </c>
      <c r="L33" s="5">
        <f>IFERROR(__xludf.DUMMYFUNCTION("""COMPUTED_VALUE"""),-0.2887)</f>
        <v>-0.2887</v>
      </c>
      <c r="M33" s="5"/>
      <c r="N33" s="5">
        <f>IFERROR(__xludf.DUMMYFUNCTION("""COMPUTED_VALUE"""),37.0)</f>
        <v>37</v>
      </c>
      <c r="O33" s="5"/>
      <c r="P33" s="5"/>
      <c r="Q33" s="5" t="str">
        <f>IFERROR(__xludf.DUMMYFUNCTION("""COMPUTED_VALUE"""),"no")</f>
        <v>no</v>
      </c>
      <c r="R33" s="5" t="str">
        <f>IFERROR(__xludf.DUMMYFUNCTION("""COMPUTED_VALUE"""),"HiFi")</f>
        <v>HiFi</v>
      </c>
      <c r="S33" s="5" t="str">
        <f>IFERROR(__xludf.DUMMYFUNCTION("""COMPUTED_VALUE"""),"hifiasm_v0.15.3")</f>
        <v>hifiasm_v0.15.3</v>
      </c>
      <c r="T33" s="6" t="str">
        <f>IFERROR(__xludf.DUMMYFUNCTION("""COMPUTED_VALUE"""),"Individual")</f>
        <v>Individual</v>
      </c>
      <c r="U33" s="6">
        <f>IFERROR(__xludf.DUMMYFUNCTION("""COMPUTED_VALUE"""),2022.0)</f>
        <v>2022</v>
      </c>
      <c r="V33" s="6" t="str">
        <f>IFERROR(__xludf.DUMMYFUNCTION("""COMPUTED_VALUE"""),"yes")</f>
        <v>yes</v>
      </c>
      <c r="W33" s="6" t="str">
        <f>IFERROR(__xludf.DUMMYFUNCTION("""COMPUTED_VALUE"""),"Christenhusz")</f>
        <v>Christenhusz</v>
      </c>
      <c r="X33" s="5">
        <f>IFERROR(__xludf.DUMMYFUNCTION("""COMPUTED_VALUE"""),2023.0)</f>
        <v>2023</v>
      </c>
      <c r="Y33" s="5" t="str">
        <f>IFERROR(__xludf.DUMMYFUNCTION("""COMPUTED_VALUE"""),"WellcomeOpenRes")</f>
        <v>WellcomeOpenRes</v>
      </c>
      <c r="Z33" s="7" t="str">
        <f>IFERROR(__xludf.DUMMYFUNCTION("""COMPUTED_VALUE"""),"10.12688/wellcomeopenres.18665.1")</f>
        <v>10.12688/wellcomeopenres.18665.1</v>
      </c>
      <c r="AA33" s="7" t="str">
        <f>IFERROR(__xludf.DUMMYFUNCTION("""COMPUTED_VALUE"""),"https://wellcomeopenresearch.org/articles/8-40/v1")</f>
        <v>https://wellcomeopenresearch.org/articles/8-40/v1</v>
      </c>
      <c r="AB33" s="5"/>
    </row>
    <row r="34">
      <c r="A34" s="5">
        <f>IFERROR(__xludf.DUMMYFUNCTION("""COMPUTED_VALUE"""),100032.0)</f>
        <v>100032</v>
      </c>
      <c r="B34" s="5" t="str">
        <f>IFERROR(__xludf.DUMMYFUNCTION("""COMPUTED_VALUE"""),"Ws-2")</f>
        <v>Ws-2</v>
      </c>
      <c r="C34" s="5">
        <f>IFERROR(__xludf.DUMMYFUNCTION("""COMPUTED_VALUE"""),6981.0)</f>
        <v>6981</v>
      </c>
      <c r="D34" s="5"/>
      <c r="E34" s="5"/>
      <c r="F34" s="5">
        <f>IFERROR(__xludf.DUMMYFUNCTION("""COMPUTED_VALUE"""),1.0)</f>
        <v>1</v>
      </c>
      <c r="G34" s="5"/>
      <c r="H34" s="5"/>
      <c r="I34" s="5" t="str">
        <f>IFERROR(__xludf.DUMMYFUNCTION("""COMPUTED_VALUE"""),"Not avaiable")</f>
        <v>Not avaiable</v>
      </c>
      <c r="J34" s="5"/>
      <c r="K34" s="5"/>
      <c r="L34" s="5"/>
      <c r="M34" s="5"/>
      <c r="N34" s="5"/>
      <c r="O34" s="5"/>
      <c r="P34" s="5"/>
      <c r="Q34" s="5" t="str">
        <f>IFERROR(__xludf.DUMMYFUNCTION("""COMPUTED_VALUE"""),"no")</f>
        <v>no</v>
      </c>
      <c r="R34" s="5" t="str">
        <f>IFERROR(__xludf.DUMMYFUNCTION("""COMPUTED_VALUE"""),"CLR")</f>
        <v>CLR</v>
      </c>
      <c r="S34" s="5" t="str">
        <f>IFERROR(__xludf.DUMMYFUNCTION("""COMPUTED_VALUE"""),"auto-asm")</f>
        <v>auto-asm</v>
      </c>
      <c r="T34" s="6" t="str">
        <f>IFERROR(__xludf.DUMMYFUNCTION("""COMPUTED_VALUE"""),"Pool")</f>
        <v>Pool</v>
      </c>
      <c r="U34" s="6"/>
      <c r="V34" s="6" t="str">
        <f>IFERROR(__xludf.DUMMYFUNCTION("""COMPUTED_VALUE"""),"yes")</f>
        <v>yes</v>
      </c>
      <c r="W34" s="6" t="str">
        <f>IFERROR(__xludf.DUMMYFUNCTION("""COMPUTED_VALUE"""),"Wibowo")</f>
        <v>Wibowo</v>
      </c>
      <c r="X34" s="5">
        <f>IFERROR(__xludf.DUMMYFUNCTION("""COMPUTED_VALUE"""),2022.0)</f>
        <v>2022</v>
      </c>
      <c r="Y34" s="5" t="str">
        <f>IFERROR(__xludf.DUMMYFUNCTION("""COMPUTED_VALUE"""),"PLoSGenet")</f>
        <v>PLoSGenet</v>
      </c>
      <c r="Z34" s="7" t="str">
        <f>IFERROR(__xludf.DUMMYFUNCTION("""COMPUTED_VALUE"""),"10.1371/journal.pgen.1010479")</f>
        <v>10.1371/journal.pgen.1010479</v>
      </c>
      <c r="AA34" s="7" t="str">
        <f>IFERROR(__xludf.DUMMYFUNCTION("""COMPUTED_VALUE"""),"https://journals.plos.org/plosgenetics/article?id=10.1371/journal.pgen.1010479")</f>
        <v>https://journals.plos.org/plosgenetics/article?id=10.1371/journal.pgen.1010479</v>
      </c>
      <c r="AB34" s="5"/>
    </row>
    <row r="35">
      <c r="A35" s="5">
        <f>IFERROR(__xludf.DUMMYFUNCTION("""COMPUTED_VALUE"""),100033.0)</f>
        <v>100033</v>
      </c>
      <c r="B35" s="5" t="str">
        <f>IFERROR(__xludf.DUMMYFUNCTION("""COMPUTED_VALUE"""),"Fjä2-4")</f>
        <v>Fjä2-4</v>
      </c>
      <c r="C35" s="5">
        <f>IFERROR(__xludf.DUMMYFUNCTION("""COMPUTED_VALUE"""),6021.0)</f>
        <v>6021</v>
      </c>
      <c r="D35" s="5"/>
      <c r="E35" s="5"/>
      <c r="F35" s="5">
        <f>IFERROR(__xludf.DUMMYFUNCTION("""COMPUTED_VALUE"""),1.0)</f>
        <v>1</v>
      </c>
      <c r="G35" s="5"/>
      <c r="H35" s="5"/>
      <c r="I35" s="5"/>
      <c r="J35" s="5"/>
      <c r="K35" s="5"/>
      <c r="L35" s="5"/>
      <c r="M35" s="5"/>
      <c r="N35" s="5">
        <f>IFERROR(__xludf.DUMMYFUNCTION("""COMPUTED_VALUE"""),137.0)</f>
        <v>137</v>
      </c>
      <c r="O35" s="5"/>
      <c r="P35" s="5"/>
      <c r="Q35" s="5" t="str">
        <f>IFERROR(__xludf.DUMMYFUNCTION("""COMPUTED_VALUE"""),"no")</f>
        <v>no</v>
      </c>
      <c r="R35" s="5" t="str">
        <f>IFERROR(__xludf.DUMMYFUNCTION("""COMPUTED_VALUE"""),"CLR")</f>
        <v>CLR</v>
      </c>
      <c r="S35" s="5" t="str">
        <f>IFERROR(__xludf.DUMMYFUNCTION("""COMPUTED_VALUE"""),"Canu_v1.7.1")</f>
        <v>Canu_v1.7.1</v>
      </c>
      <c r="T35" s="6" t="str">
        <f>IFERROR(__xludf.DUMMYFUNCTION("""COMPUTED_VALUE"""),"Pool")</f>
        <v>Pool</v>
      </c>
      <c r="U35" s="6">
        <f>IFERROR(__xludf.DUMMYFUNCTION("""COMPUTED_VALUE"""),2022.0)</f>
        <v>2022</v>
      </c>
      <c r="V35" s="6" t="str">
        <f>IFERROR(__xludf.DUMMYFUNCTION("""COMPUTED_VALUE"""),"yes")</f>
        <v>yes</v>
      </c>
      <c r="W35" s="6" t="str">
        <f>IFERROR(__xludf.DUMMYFUNCTION("""COMPUTED_VALUE"""),"Jaegle")</f>
        <v>Jaegle</v>
      </c>
      <c r="X35" s="5">
        <f>IFERROR(__xludf.DUMMYFUNCTION("""COMPUTED_VALUE"""),2023.0)</f>
        <v>2023</v>
      </c>
      <c r="Y35" s="5" t="str">
        <f>IFERROR(__xludf.DUMMYFUNCTION("""COMPUTED_VALUE"""),"GenomeBiol")</f>
        <v>GenomeBiol</v>
      </c>
      <c r="Z35" s="7" t="str">
        <f>IFERROR(__xludf.DUMMYFUNCTION("""COMPUTED_VALUE"""),"10.1186/s13059-023-02875-3")</f>
        <v>10.1186/s13059-023-02875-3</v>
      </c>
      <c r="AA35" s="7" t="str">
        <f>IFERROR(__xludf.DUMMYFUNCTION("""COMPUTED_VALUE"""),"https://genomebiology.biomedcentral.com/articles/10.1186/s13059-023-02875-3")</f>
        <v>https://genomebiology.biomedcentral.com/articles/10.1186/s13059-023-02875-3</v>
      </c>
      <c r="AB35" s="5"/>
    </row>
    <row r="36">
      <c r="A36" s="5">
        <f>IFERROR(__xludf.DUMMYFUNCTION("""COMPUTED_VALUE"""),100034.0)</f>
        <v>100034</v>
      </c>
      <c r="B36" s="5" t="str">
        <f>IFERROR(__xludf.DUMMYFUNCTION("""COMPUTED_VALUE"""),"Fly2-2")</f>
        <v>Fly2-2</v>
      </c>
      <c r="C36" s="5">
        <f>IFERROR(__xludf.DUMMYFUNCTION("""COMPUTED_VALUE"""),6024.0)</f>
        <v>6024</v>
      </c>
      <c r="D36" s="5"/>
      <c r="E36" s="5">
        <f>IFERROR(__xludf.DUMMYFUNCTION("""COMPUTED_VALUE"""),100034.0)</f>
        <v>100034</v>
      </c>
      <c r="F36" s="5">
        <f>IFERROR(__xludf.DUMMYFUNCTION("""COMPUTED_VALUE"""),1.0)</f>
        <v>1</v>
      </c>
      <c r="G36" s="5"/>
      <c r="H36" s="5" t="b">
        <f>IFERROR(__xludf.DUMMYFUNCTION("""COMPUTED_VALUE"""),FALSE)</f>
        <v>0</v>
      </c>
      <c r="I36" s="5"/>
      <c r="J36" s="5"/>
      <c r="K36" s="5"/>
      <c r="L36" s="5"/>
      <c r="M36" s="5"/>
      <c r="N36" s="5">
        <f>IFERROR(__xludf.DUMMYFUNCTION("""COMPUTED_VALUE"""),111.0)</f>
        <v>111</v>
      </c>
      <c r="O36" s="5"/>
      <c r="P36" s="5"/>
      <c r="Q36" s="5" t="str">
        <f>IFERROR(__xludf.DUMMYFUNCTION("""COMPUTED_VALUE"""),"no")</f>
        <v>no</v>
      </c>
      <c r="R36" s="5" t="str">
        <f>IFERROR(__xludf.DUMMYFUNCTION("""COMPUTED_VALUE"""),"CLR")</f>
        <v>CLR</v>
      </c>
      <c r="S36" s="5" t="str">
        <f>IFERROR(__xludf.DUMMYFUNCTION("""COMPUTED_VALUE"""),"Canu_v1.7.1")</f>
        <v>Canu_v1.7.1</v>
      </c>
      <c r="T36" s="6" t="str">
        <f>IFERROR(__xludf.DUMMYFUNCTION("""COMPUTED_VALUE"""),"Pool")</f>
        <v>Pool</v>
      </c>
      <c r="U36" s="6">
        <f>IFERROR(__xludf.DUMMYFUNCTION("""COMPUTED_VALUE"""),2022.0)</f>
        <v>2022</v>
      </c>
      <c r="V36" s="6" t="str">
        <f>IFERROR(__xludf.DUMMYFUNCTION("""COMPUTED_VALUE"""),"yes")</f>
        <v>yes</v>
      </c>
      <c r="W36" s="6" t="str">
        <f>IFERROR(__xludf.DUMMYFUNCTION("""COMPUTED_VALUE"""),"Jaegle")</f>
        <v>Jaegle</v>
      </c>
      <c r="X36" s="5">
        <f>IFERROR(__xludf.DUMMYFUNCTION("""COMPUTED_VALUE"""),2023.0)</f>
        <v>2023</v>
      </c>
      <c r="Y36" s="5" t="str">
        <f>IFERROR(__xludf.DUMMYFUNCTION("""COMPUTED_VALUE"""),"GenomeBiol")</f>
        <v>GenomeBiol</v>
      </c>
      <c r="Z36" s="7" t="str">
        <f>IFERROR(__xludf.DUMMYFUNCTION("""COMPUTED_VALUE"""),"10.1186/s13059-023-02875-3")</f>
        <v>10.1186/s13059-023-02875-3</v>
      </c>
      <c r="AA36" s="7" t="str">
        <f>IFERROR(__xludf.DUMMYFUNCTION("""COMPUTED_VALUE"""),"https://genomebiology.biomedcentral.com/articles/10.1186/s13059-023-02875-3")</f>
        <v>https://genomebiology.biomedcentral.com/articles/10.1186/s13059-023-02875-3</v>
      </c>
      <c r="AB36" s="5"/>
    </row>
    <row r="37">
      <c r="A37" s="5">
        <f>IFERROR(__xludf.DUMMYFUNCTION("""COMPUTED_VALUE"""),100035.0)</f>
        <v>100035</v>
      </c>
      <c r="B37" s="5" t="str">
        <f>IFERROR(__xludf.DUMMYFUNCTION("""COMPUTED_VALUE"""),"Kor 3")</f>
        <v>Kor 3</v>
      </c>
      <c r="C37" s="5">
        <f>IFERROR(__xludf.DUMMYFUNCTION("""COMPUTED_VALUE"""),9412.0)</f>
        <v>9412</v>
      </c>
      <c r="D37" s="5"/>
      <c r="E37" s="5"/>
      <c r="F37" s="5">
        <f>IFERROR(__xludf.DUMMYFUNCTION("""COMPUTED_VALUE"""),1.0)</f>
        <v>1</v>
      </c>
      <c r="G37" s="5"/>
      <c r="H37" s="5"/>
      <c r="I37" s="5"/>
      <c r="J37" s="5"/>
      <c r="K37" s="5"/>
      <c r="L37" s="5"/>
      <c r="M37" s="5"/>
      <c r="N37" s="5">
        <f>IFERROR(__xludf.DUMMYFUNCTION("""COMPUTED_VALUE"""),134.0)</f>
        <v>134</v>
      </c>
      <c r="O37" s="5"/>
      <c r="P37" s="5"/>
      <c r="Q37" s="5" t="str">
        <f>IFERROR(__xludf.DUMMYFUNCTION("""COMPUTED_VALUE"""),"no")</f>
        <v>no</v>
      </c>
      <c r="R37" s="5" t="str">
        <f>IFERROR(__xludf.DUMMYFUNCTION("""COMPUTED_VALUE"""),"CLR")</f>
        <v>CLR</v>
      </c>
      <c r="S37" s="5" t="str">
        <f>IFERROR(__xludf.DUMMYFUNCTION("""COMPUTED_VALUE"""),"Canu_v1.7.1")</f>
        <v>Canu_v1.7.1</v>
      </c>
      <c r="T37" s="6" t="str">
        <f>IFERROR(__xludf.DUMMYFUNCTION("""COMPUTED_VALUE"""),"Pool")</f>
        <v>Pool</v>
      </c>
      <c r="U37" s="6">
        <f>IFERROR(__xludf.DUMMYFUNCTION("""COMPUTED_VALUE"""),2022.0)</f>
        <v>2022</v>
      </c>
      <c r="V37" s="6" t="str">
        <f>IFERROR(__xludf.DUMMYFUNCTION("""COMPUTED_VALUE"""),"yes")</f>
        <v>yes</v>
      </c>
      <c r="W37" s="6" t="str">
        <f>IFERROR(__xludf.DUMMYFUNCTION("""COMPUTED_VALUE"""),"Jaegle")</f>
        <v>Jaegle</v>
      </c>
      <c r="X37" s="5">
        <f>IFERROR(__xludf.DUMMYFUNCTION("""COMPUTED_VALUE"""),2023.0)</f>
        <v>2023</v>
      </c>
      <c r="Y37" s="5" t="str">
        <f>IFERROR(__xludf.DUMMYFUNCTION("""COMPUTED_VALUE"""),"GenomeBiol")</f>
        <v>GenomeBiol</v>
      </c>
      <c r="Z37" s="7" t="str">
        <f>IFERROR(__xludf.DUMMYFUNCTION("""COMPUTED_VALUE"""),"10.1186/s13059-023-02875-3")</f>
        <v>10.1186/s13059-023-02875-3</v>
      </c>
      <c r="AA37" s="7" t="str">
        <f>IFERROR(__xludf.DUMMYFUNCTION("""COMPUTED_VALUE"""),"https://genomebiology.biomedcentral.com/articles/10.1186/s13059-023-02875-3")</f>
        <v>https://genomebiology.biomedcentral.com/articles/10.1186/s13059-023-02875-3</v>
      </c>
      <c r="AB37" s="5"/>
    </row>
    <row r="38">
      <c r="A38" s="5">
        <f>IFERROR(__xludf.DUMMYFUNCTION("""COMPUTED_VALUE"""),100036.0)</f>
        <v>100036</v>
      </c>
      <c r="B38" s="5" t="str">
        <f>IFERROR(__xludf.DUMMYFUNCTION("""COMPUTED_VALUE"""),"Tur-4")</f>
        <v>Tur-4</v>
      </c>
      <c r="C38" s="5">
        <f>IFERROR(__xludf.DUMMYFUNCTION("""COMPUTED_VALUE"""),9470.0)</f>
        <v>9470</v>
      </c>
      <c r="D38" s="5"/>
      <c r="E38" s="5"/>
      <c r="F38" s="5">
        <f>IFERROR(__xludf.DUMMYFUNCTION("""COMPUTED_VALUE"""),1.0)</f>
        <v>1</v>
      </c>
      <c r="G38" s="5"/>
      <c r="H38" s="5"/>
      <c r="I38" s="5"/>
      <c r="J38" s="5"/>
      <c r="K38" s="5"/>
      <c r="L38" s="5"/>
      <c r="M38" s="5"/>
      <c r="N38" s="5">
        <f>IFERROR(__xludf.DUMMYFUNCTION("""COMPUTED_VALUE"""),140.0)</f>
        <v>140</v>
      </c>
      <c r="O38" s="5"/>
      <c r="P38" s="5"/>
      <c r="Q38" s="5" t="str">
        <f>IFERROR(__xludf.DUMMYFUNCTION("""COMPUTED_VALUE"""),"no")</f>
        <v>no</v>
      </c>
      <c r="R38" s="5" t="str">
        <f>IFERROR(__xludf.DUMMYFUNCTION("""COMPUTED_VALUE"""),"CLR")</f>
        <v>CLR</v>
      </c>
      <c r="S38" s="5" t="str">
        <f>IFERROR(__xludf.DUMMYFUNCTION("""COMPUTED_VALUE"""),"Canu_v1.7.1")</f>
        <v>Canu_v1.7.1</v>
      </c>
      <c r="T38" s="6" t="str">
        <f>IFERROR(__xludf.DUMMYFUNCTION("""COMPUTED_VALUE"""),"Pool")</f>
        <v>Pool</v>
      </c>
      <c r="U38" s="6">
        <f>IFERROR(__xludf.DUMMYFUNCTION("""COMPUTED_VALUE"""),2022.0)</f>
        <v>2022</v>
      </c>
      <c r="V38" s="6" t="str">
        <f>IFERROR(__xludf.DUMMYFUNCTION("""COMPUTED_VALUE"""),"yes")</f>
        <v>yes</v>
      </c>
      <c r="W38" s="6" t="str">
        <f>IFERROR(__xludf.DUMMYFUNCTION("""COMPUTED_VALUE"""),"Jaegle")</f>
        <v>Jaegle</v>
      </c>
      <c r="X38" s="5">
        <f>IFERROR(__xludf.DUMMYFUNCTION("""COMPUTED_VALUE"""),2023.0)</f>
        <v>2023</v>
      </c>
      <c r="Y38" s="5" t="str">
        <f>IFERROR(__xludf.DUMMYFUNCTION("""COMPUTED_VALUE"""),"GenomeBiol")</f>
        <v>GenomeBiol</v>
      </c>
      <c r="Z38" s="7" t="str">
        <f>IFERROR(__xludf.DUMMYFUNCTION("""COMPUTED_VALUE"""),"10.1186/s13059-023-02875-3")</f>
        <v>10.1186/s13059-023-02875-3</v>
      </c>
      <c r="AA38" s="7" t="str">
        <f>IFERROR(__xludf.DUMMYFUNCTION("""COMPUTED_VALUE"""),"https://genomebiology.biomedcentral.com/articles/10.1186/s13059-023-02875-3")</f>
        <v>https://genomebiology.biomedcentral.com/articles/10.1186/s13059-023-02875-3</v>
      </c>
      <c r="AB38" s="5"/>
    </row>
    <row r="39">
      <c r="A39" s="5">
        <f>IFERROR(__xludf.DUMMYFUNCTION("""COMPUTED_VALUE"""),100037.0)</f>
        <v>100037</v>
      </c>
      <c r="B39" s="5" t="str">
        <f>IFERROR(__xludf.DUMMYFUNCTION("""COMPUTED_VALUE"""),"Tos-82-387")</f>
        <v>Tos-82-387</v>
      </c>
      <c r="C39" s="5">
        <f>IFERROR(__xludf.DUMMYFUNCTION("""COMPUTED_VALUE"""),1254.0)</f>
        <v>1254</v>
      </c>
      <c r="D39" s="5"/>
      <c r="E39" s="5"/>
      <c r="F39" s="5">
        <f>IFERROR(__xludf.DUMMYFUNCTION("""COMPUTED_VALUE"""),1.0)</f>
        <v>1</v>
      </c>
      <c r="G39" s="5"/>
      <c r="H39" s="5"/>
      <c r="I39" s="5"/>
      <c r="J39" s="5"/>
      <c r="K39" s="5"/>
      <c r="L39" s="5"/>
      <c r="M39" s="5"/>
      <c r="N39" s="5">
        <f>IFERROR(__xludf.DUMMYFUNCTION("""COMPUTED_VALUE"""),118.0)</f>
        <v>118</v>
      </c>
      <c r="O39" s="5"/>
      <c r="P39" s="5"/>
      <c r="Q39" s="5" t="str">
        <f>IFERROR(__xludf.DUMMYFUNCTION("""COMPUTED_VALUE"""),"no")</f>
        <v>no</v>
      </c>
      <c r="R39" s="5" t="str">
        <f>IFERROR(__xludf.DUMMYFUNCTION("""COMPUTED_VALUE"""),"CLR")</f>
        <v>CLR</v>
      </c>
      <c r="S39" s="5" t="str">
        <f>IFERROR(__xludf.DUMMYFUNCTION("""COMPUTED_VALUE"""),"Canu_v1.7.1")</f>
        <v>Canu_v1.7.1</v>
      </c>
      <c r="T39" s="6" t="str">
        <f>IFERROR(__xludf.DUMMYFUNCTION("""COMPUTED_VALUE"""),"Pool")</f>
        <v>Pool</v>
      </c>
      <c r="U39" s="6">
        <f>IFERROR(__xludf.DUMMYFUNCTION("""COMPUTED_VALUE"""),2022.0)</f>
        <v>2022</v>
      </c>
      <c r="V39" s="6" t="str">
        <f>IFERROR(__xludf.DUMMYFUNCTION("""COMPUTED_VALUE"""),"yes")</f>
        <v>yes</v>
      </c>
      <c r="W39" s="6" t="str">
        <f>IFERROR(__xludf.DUMMYFUNCTION("""COMPUTED_VALUE"""),"Jaegle")</f>
        <v>Jaegle</v>
      </c>
      <c r="X39" s="5">
        <f>IFERROR(__xludf.DUMMYFUNCTION("""COMPUTED_VALUE"""),2023.0)</f>
        <v>2023</v>
      </c>
      <c r="Y39" s="5" t="str">
        <f>IFERROR(__xludf.DUMMYFUNCTION("""COMPUTED_VALUE"""),"GenomeBiol")</f>
        <v>GenomeBiol</v>
      </c>
      <c r="Z39" s="7" t="str">
        <f>IFERROR(__xludf.DUMMYFUNCTION("""COMPUTED_VALUE"""),"10.1186/s13059-023-02875-3")</f>
        <v>10.1186/s13059-023-02875-3</v>
      </c>
      <c r="AA39" s="7" t="str">
        <f>IFERROR(__xludf.DUMMYFUNCTION("""COMPUTED_VALUE"""),"https://genomebiology.biomedcentral.com/articles/10.1186/s13059-023-02875-3")</f>
        <v>https://genomebiology.biomedcentral.com/articles/10.1186/s13059-023-02875-3</v>
      </c>
      <c r="AB39" s="5"/>
    </row>
    <row r="40">
      <c r="A40" s="5">
        <f>IFERROR(__xludf.DUMMYFUNCTION("""COMPUTED_VALUE"""),100038.0)</f>
        <v>100038</v>
      </c>
      <c r="B40" s="5" t="str">
        <f>IFERROR(__xludf.DUMMYFUNCTION("""COMPUTED_VALUE"""),"Dör-10")</f>
        <v>Dör-10</v>
      </c>
      <c r="C40" s="5">
        <f>IFERROR(__xludf.DUMMYFUNCTION("""COMPUTED_VALUE"""),5856.0)</f>
        <v>5856</v>
      </c>
      <c r="D40" s="5"/>
      <c r="E40" s="5"/>
      <c r="F40" s="5">
        <f>IFERROR(__xludf.DUMMYFUNCTION("""COMPUTED_VALUE"""),1.0)</f>
        <v>1</v>
      </c>
      <c r="G40" s="5"/>
      <c r="H40" s="5"/>
      <c r="I40" s="5"/>
      <c r="J40" s="5"/>
      <c r="K40" s="5"/>
      <c r="L40" s="5"/>
      <c r="M40" s="5"/>
      <c r="N40" s="5">
        <f>IFERROR(__xludf.DUMMYFUNCTION("""COMPUTED_VALUE"""),188.0)</f>
        <v>188</v>
      </c>
      <c r="O40" s="5"/>
      <c r="P40" s="5"/>
      <c r="Q40" s="5" t="str">
        <f>IFERROR(__xludf.DUMMYFUNCTION("""COMPUTED_VALUE"""),"no")</f>
        <v>no</v>
      </c>
      <c r="R40" s="5" t="str">
        <f>IFERROR(__xludf.DUMMYFUNCTION("""COMPUTED_VALUE"""),"CLR")</f>
        <v>CLR</v>
      </c>
      <c r="S40" s="5" t="str">
        <f>IFERROR(__xludf.DUMMYFUNCTION("""COMPUTED_VALUE"""),"Canu_v1.7.1")</f>
        <v>Canu_v1.7.1</v>
      </c>
      <c r="T40" s="6" t="str">
        <f>IFERROR(__xludf.DUMMYFUNCTION("""COMPUTED_VALUE"""),"Pool")</f>
        <v>Pool</v>
      </c>
      <c r="U40" s="6">
        <f>IFERROR(__xludf.DUMMYFUNCTION("""COMPUTED_VALUE"""),2022.0)</f>
        <v>2022</v>
      </c>
      <c r="V40" s="6" t="str">
        <f>IFERROR(__xludf.DUMMYFUNCTION("""COMPUTED_VALUE"""),"yes")</f>
        <v>yes</v>
      </c>
      <c r="W40" s="6" t="str">
        <f>IFERROR(__xludf.DUMMYFUNCTION("""COMPUTED_VALUE"""),"Jaegle")</f>
        <v>Jaegle</v>
      </c>
      <c r="X40" s="5">
        <f>IFERROR(__xludf.DUMMYFUNCTION("""COMPUTED_VALUE"""),2023.0)</f>
        <v>2023</v>
      </c>
      <c r="Y40" s="5" t="str">
        <f>IFERROR(__xludf.DUMMYFUNCTION("""COMPUTED_VALUE"""),"GenomeBiol")</f>
        <v>GenomeBiol</v>
      </c>
      <c r="Z40" s="7" t="str">
        <f>IFERROR(__xludf.DUMMYFUNCTION("""COMPUTED_VALUE"""),"10.1186/s13059-023-02875-3")</f>
        <v>10.1186/s13059-023-02875-3</v>
      </c>
      <c r="AA40" s="7" t="str">
        <f>IFERROR(__xludf.DUMMYFUNCTION("""COMPUTED_VALUE"""),"https://genomebiology.biomedcentral.com/articles/10.1186/s13059-023-02875-3")</f>
        <v>https://genomebiology.biomedcentral.com/articles/10.1186/s13059-023-02875-3</v>
      </c>
      <c r="AB40" s="5"/>
    </row>
    <row r="41">
      <c r="A41" s="5">
        <f>IFERROR(__xludf.DUMMYFUNCTION("""COMPUTED_VALUE"""),100039.0)</f>
        <v>100039</v>
      </c>
      <c r="B41" s="5" t="str">
        <f>IFERROR(__xludf.DUMMYFUNCTION("""COMPUTED_VALUE"""),"Rabacal-1")</f>
        <v>Rabacal-1</v>
      </c>
      <c r="C41" s="5">
        <f>IFERROR(__xludf.DUMMYFUNCTION("""COMPUTED_VALUE"""),22005.0)</f>
        <v>22005</v>
      </c>
      <c r="D41" s="5"/>
      <c r="E41" s="5"/>
      <c r="F41" s="5">
        <f>IFERROR(__xludf.DUMMYFUNCTION("""COMPUTED_VALUE"""),1.0)</f>
        <v>1</v>
      </c>
      <c r="G41" s="5"/>
      <c r="H41" s="5" t="b">
        <f>IFERROR(__xludf.DUMMYFUNCTION("""COMPUTED_VALUE"""),TRUE)</f>
        <v>1</v>
      </c>
      <c r="I41" s="5"/>
      <c r="J41" s="5" t="str">
        <f>IFERROR(__xludf.DUMMYFUNCTION("""COMPUTED_VALUE"""),"CS2107642")</f>
        <v>CS2107642</v>
      </c>
      <c r="K41" s="5"/>
      <c r="L41" s="5"/>
      <c r="M41" s="5"/>
      <c r="N41" s="5">
        <f>IFERROR(__xludf.DUMMYFUNCTION("""COMPUTED_VALUE"""),1.0)</f>
        <v>1</v>
      </c>
      <c r="O41" s="5"/>
      <c r="P41" s="5"/>
      <c r="Q41" s="5" t="str">
        <f>IFERROR(__xludf.DUMMYFUNCTION("""COMPUTED_VALUE"""),"yes")</f>
        <v>yes</v>
      </c>
      <c r="R41" s="5" t="str">
        <f>IFERROR(__xludf.DUMMYFUNCTION("""COMPUTED_VALUE"""),"HiFi")</f>
        <v>HiFi</v>
      </c>
      <c r="S41" s="5" t="str">
        <f>IFERROR(__xludf.DUMMYFUNCTION("""COMPUTED_VALUE"""),"hifiasm_v0.16.1-r375")</f>
        <v>hifiasm_v0.16.1-r375</v>
      </c>
      <c r="T41" s="6" t="str">
        <f>IFERROR(__xludf.DUMMYFUNCTION("""COMPUTED_VALUE"""),"Individual")</f>
        <v>Individual</v>
      </c>
      <c r="U41" s="6">
        <f>IFERROR(__xludf.DUMMYFUNCTION("""COMPUTED_VALUE"""),2023.0)</f>
        <v>2023</v>
      </c>
      <c r="V41" s="6" t="str">
        <f>IFERROR(__xludf.DUMMYFUNCTION("""COMPUTED_VALUE"""),"yes")</f>
        <v>yes</v>
      </c>
      <c r="W41" s="6" t="str">
        <f>IFERROR(__xludf.DUMMYFUNCTION("""COMPUTED_VALUE"""),"Wlodzimierz")</f>
        <v>Wlodzimierz</v>
      </c>
      <c r="X41" s="5">
        <f>IFERROR(__xludf.DUMMYFUNCTION("""COMPUTED_VALUE"""),2023.0)</f>
        <v>2023</v>
      </c>
      <c r="Y41" s="5" t="str">
        <f>IFERROR(__xludf.DUMMYFUNCTION("""COMPUTED_VALUE"""),"Nature")</f>
        <v>Nature</v>
      </c>
      <c r="Z41" s="7" t="str">
        <f>IFERROR(__xludf.DUMMYFUNCTION("""COMPUTED_VALUE"""),"10.1038/s41586-023-06062-z")</f>
        <v>10.1038/s41586-023-06062-z</v>
      </c>
      <c r="AA41" s="7" t="str">
        <f>IFERROR(__xludf.DUMMYFUNCTION("""COMPUTED_VALUE"""),"https://www.nature.com/articles/s41586-023-06062-z")</f>
        <v>https://www.nature.com/articles/s41586-023-06062-z</v>
      </c>
      <c r="AB41" s="5"/>
    </row>
    <row r="42">
      <c r="A42" s="5">
        <f>IFERROR(__xludf.DUMMYFUNCTION("""COMPUTED_VALUE"""),100040.0)</f>
        <v>100040</v>
      </c>
      <c r="B42" s="5" t="str">
        <f>IFERROR(__xludf.DUMMYFUNCTION("""COMPUTED_VALUE"""),"Tanz-1")</f>
        <v>Tanz-1</v>
      </c>
      <c r="C42" s="5">
        <f>IFERROR(__xludf.DUMMYFUNCTION("""COMPUTED_VALUE"""),100002.0)</f>
        <v>100002</v>
      </c>
      <c r="D42" s="5"/>
      <c r="E42" s="5"/>
      <c r="F42" s="5">
        <f>IFERROR(__xludf.DUMMYFUNCTION("""COMPUTED_VALUE"""),1.0)</f>
        <v>1</v>
      </c>
      <c r="G42" s="5"/>
      <c r="H42" s="5" t="b">
        <f>IFERROR(__xludf.DUMMYFUNCTION("""COMPUTED_VALUE"""),TRUE)</f>
        <v>1</v>
      </c>
      <c r="I42" s="5"/>
      <c r="J42" s="5" t="str">
        <f>IFERROR(__xludf.DUMMYFUNCTION("""COMPUTED_VALUE"""),"CS77369")</f>
        <v>CS77369</v>
      </c>
      <c r="K42" s="5"/>
      <c r="L42" s="5"/>
      <c r="M42" s="5"/>
      <c r="N42" s="5">
        <f>IFERROR(__xludf.DUMMYFUNCTION("""COMPUTED_VALUE"""),0.0)</f>
        <v>0</v>
      </c>
      <c r="O42" s="5"/>
      <c r="P42" s="5"/>
      <c r="Q42" s="5" t="str">
        <f>IFERROR(__xludf.DUMMYFUNCTION("""COMPUTED_VALUE"""),"yes")</f>
        <v>yes</v>
      </c>
      <c r="R42" s="5" t="str">
        <f>IFERROR(__xludf.DUMMYFUNCTION("""COMPUTED_VALUE"""),"HiFi")</f>
        <v>HiFi</v>
      </c>
      <c r="S42" s="5" t="str">
        <f>IFERROR(__xludf.DUMMYFUNCTION("""COMPUTED_VALUE"""),"hifiasm_v0.16.1-r375")</f>
        <v>hifiasm_v0.16.1-r375</v>
      </c>
      <c r="T42" s="6" t="str">
        <f>IFERROR(__xludf.DUMMYFUNCTION("""COMPUTED_VALUE"""),"Individual")</f>
        <v>Individual</v>
      </c>
      <c r="U42" s="6">
        <f>IFERROR(__xludf.DUMMYFUNCTION("""COMPUTED_VALUE"""),2023.0)</f>
        <v>2023</v>
      </c>
      <c r="V42" s="6" t="str">
        <f>IFERROR(__xludf.DUMMYFUNCTION("""COMPUTED_VALUE"""),"yes")</f>
        <v>yes</v>
      </c>
      <c r="W42" s="6" t="str">
        <f>IFERROR(__xludf.DUMMYFUNCTION("""COMPUTED_VALUE"""),"Wlodzimierz")</f>
        <v>Wlodzimierz</v>
      </c>
      <c r="X42" s="5">
        <f>IFERROR(__xludf.DUMMYFUNCTION("""COMPUTED_VALUE"""),2023.0)</f>
        <v>2023</v>
      </c>
      <c r="Y42" s="5" t="str">
        <f>IFERROR(__xludf.DUMMYFUNCTION("""COMPUTED_VALUE"""),"Nature")</f>
        <v>Nature</v>
      </c>
      <c r="Z42" s="7" t="str">
        <f>IFERROR(__xludf.DUMMYFUNCTION("""COMPUTED_VALUE"""),"10.1038/s41586-023-06062-z")</f>
        <v>10.1038/s41586-023-06062-z</v>
      </c>
      <c r="AA42" s="7" t="str">
        <f>IFERROR(__xludf.DUMMYFUNCTION("""COMPUTED_VALUE"""),"https://www.nature.com/articles/s41586-023-06062-z")</f>
        <v>https://www.nature.com/articles/s41586-023-06062-z</v>
      </c>
      <c r="AB42" s="5"/>
    </row>
    <row r="43">
      <c r="A43" s="5">
        <f>IFERROR(__xludf.DUMMYFUNCTION("""COMPUTED_VALUE"""),100041.0)</f>
        <v>100041</v>
      </c>
      <c r="B43" s="5" t="str">
        <f>IFERROR(__xludf.DUMMYFUNCTION("""COMPUTED_VALUE"""),"Ler-0")</f>
        <v>Ler-0</v>
      </c>
      <c r="C43" s="5">
        <f>IFERROR(__xludf.DUMMYFUNCTION("""COMPUTED_VALUE"""),7213.0)</f>
        <v>7213</v>
      </c>
      <c r="D43" s="5"/>
      <c r="E43" s="5"/>
      <c r="F43" s="5">
        <f>IFERROR(__xludf.DUMMYFUNCTION("""COMPUTED_VALUE"""),1.0)</f>
        <v>1</v>
      </c>
      <c r="G43" s="5"/>
      <c r="H43" s="5"/>
      <c r="I43" s="5"/>
      <c r="J43" s="5" t="str">
        <f>IFERROR(__xludf.DUMMYFUNCTION("""COMPUTED_VALUE"""),"CS77020")</f>
        <v>CS77020</v>
      </c>
      <c r="K43" s="5"/>
      <c r="L43" s="5"/>
      <c r="M43" s="5"/>
      <c r="N43" s="5">
        <f>IFERROR(__xludf.DUMMYFUNCTION("""COMPUTED_VALUE"""),6.0)</f>
        <v>6</v>
      </c>
      <c r="O43" s="5"/>
      <c r="P43" s="5"/>
      <c r="Q43" s="5" t="str">
        <f>IFERROR(__xludf.DUMMYFUNCTION("""COMPUTED_VALUE"""),"no")</f>
        <v>no</v>
      </c>
      <c r="R43" s="5" t="str">
        <f>IFERROR(__xludf.DUMMYFUNCTION("""COMPUTED_VALUE"""),"HiFi")</f>
        <v>HiFi</v>
      </c>
      <c r="S43" s="5" t="str">
        <f>IFERROR(__xludf.DUMMYFUNCTION("""COMPUTED_VALUE"""),"hifiasm_v0.16.1-r375")</f>
        <v>hifiasm_v0.16.1-r375</v>
      </c>
      <c r="T43" s="6" t="str">
        <f>IFERROR(__xludf.DUMMYFUNCTION("""COMPUTED_VALUE"""),"Individual")</f>
        <v>Individual</v>
      </c>
      <c r="U43" s="6">
        <f>IFERROR(__xludf.DUMMYFUNCTION("""COMPUTED_VALUE"""),2023.0)</f>
        <v>2023</v>
      </c>
      <c r="V43" s="6" t="str">
        <f>IFERROR(__xludf.DUMMYFUNCTION("""COMPUTED_VALUE"""),"yes")</f>
        <v>yes</v>
      </c>
      <c r="W43" s="6" t="str">
        <f>IFERROR(__xludf.DUMMYFUNCTION("""COMPUTED_VALUE"""),"Wlodzimierz")</f>
        <v>Wlodzimierz</v>
      </c>
      <c r="X43" s="5">
        <f>IFERROR(__xludf.DUMMYFUNCTION("""COMPUTED_VALUE"""),2023.0)</f>
        <v>2023</v>
      </c>
      <c r="Y43" s="5" t="str">
        <f>IFERROR(__xludf.DUMMYFUNCTION("""COMPUTED_VALUE"""),"Nature")</f>
        <v>Nature</v>
      </c>
      <c r="Z43" s="7" t="str">
        <f>IFERROR(__xludf.DUMMYFUNCTION("""COMPUTED_VALUE"""),"10.1038/s41586-023-06062-z")</f>
        <v>10.1038/s41586-023-06062-z</v>
      </c>
      <c r="AA43" s="7" t="str">
        <f>IFERROR(__xludf.DUMMYFUNCTION("""COMPUTED_VALUE"""),"https://www.nature.com/articles/s41586-023-06062-z")</f>
        <v>https://www.nature.com/articles/s41586-023-06062-z</v>
      </c>
      <c r="AB43" s="5"/>
    </row>
    <row r="44">
      <c r="A44" s="5">
        <f>IFERROR(__xludf.DUMMYFUNCTION("""COMPUTED_VALUE"""),100042.0)</f>
        <v>100042</v>
      </c>
      <c r="B44" s="5" t="str">
        <f>IFERROR(__xludf.DUMMYFUNCTION("""COMPUTED_VALUE"""),"Cvi-0")</f>
        <v>Cvi-0</v>
      </c>
      <c r="C44" s="5">
        <f>IFERROR(__xludf.DUMMYFUNCTION("""COMPUTED_VALUE"""),6911.0)</f>
        <v>6911</v>
      </c>
      <c r="D44" s="5"/>
      <c r="E44" s="5"/>
      <c r="F44" s="5">
        <f>IFERROR(__xludf.DUMMYFUNCTION("""COMPUTED_VALUE"""),1.0)</f>
        <v>1</v>
      </c>
      <c r="G44" s="5"/>
      <c r="H44" s="5"/>
      <c r="I44" s="5"/>
      <c r="J44" s="5" t="str">
        <f>IFERROR(__xludf.DUMMYFUNCTION("""COMPUTED_VALUE"""),"CS76789")</f>
        <v>CS76789</v>
      </c>
      <c r="K44" s="5"/>
      <c r="L44" s="5"/>
      <c r="M44" s="5"/>
      <c r="N44" s="5">
        <f>IFERROR(__xludf.DUMMYFUNCTION("""COMPUTED_VALUE"""),2.0)</f>
        <v>2</v>
      </c>
      <c r="O44" s="5"/>
      <c r="P44" s="5"/>
      <c r="Q44" s="5" t="str">
        <f>IFERROR(__xludf.DUMMYFUNCTION("""COMPUTED_VALUE"""),"yes")</f>
        <v>yes</v>
      </c>
      <c r="R44" s="5" t="str">
        <f>IFERROR(__xludf.DUMMYFUNCTION("""COMPUTED_VALUE"""),"HiFi")</f>
        <v>HiFi</v>
      </c>
      <c r="S44" s="5" t="str">
        <f>IFERROR(__xludf.DUMMYFUNCTION("""COMPUTED_VALUE"""),"hifiasm_v0.16.1-r375")</f>
        <v>hifiasm_v0.16.1-r375</v>
      </c>
      <c r="T44" s="6" t="str">
        <f>IFERROR(__xludf.DUMMYFUNCTION("""COMPUTED_VALUE"""),"Individual")</f>
        <v>Individual</v>
      </c>
      <c r="U44" s="6">
        <f>IFERROR(__xludf.DUMMYFUNCTION("""COMPUTED_VALUE"""),2023.0)</f>
        <v>2023</v>
      </c>
      <c r="V44" s="6" t="str">
        <f>IFERROR(__xludf.DUMMYFUNCTION("""COMPUTED_VALUE"""),"yes")</f>
        <v>yes</v>
      </c>
      <c r="W44" s="6" t="str">
        <f>IFERROR(__xludf.DUMMYFUNCTION("""COMPUTED_VALUE"""),"Wlodzimierz")</f>
        <v>Wlodzimierz</v>
      </c>
      <c r="X44" s="5">
        <f>IFERROR(__xludf.DUMMYFUNCTION("""COMPUTED_VALUE"""),2023.0)</f>
        <v>2023</v>
      </c>
      <c r="Y44" s="5" t="str">
        <f>IFERROR(__xludf.DUMMYFUNCTION("""COMPUTED_VALUE"""),"Nature")</f>
        <v>Nature</v>
      </c>
      <c r="Z44" s="7" t="str">
        <f>IFERROR(__xludf.DUMMYFUNCTION("""COMPUTED_VALUE"""),"10.1038/s41586-023-06062-z")</f>
        <v>10.1038/s41586-023-06062-z</v>
      </c>
      <c r="AA44" s="7" t="str">
        <f>IFERROR(__xludf.DUMMYFUNCTION("""COMPUTED_VALUE"""),"https://www.nature.com/articles/s41586-023-06062-z")</f>
        <v>https://www.nature.com/articles/s41586-023-06062-z</v>
      </c>
      <c r="AB44" s="5"/>
    </row>
    <row r="45">
      <c r="A45" s="5">
        <f>IFERROR(__xludf.DUMMYFUNCTION("""COMPUTED_VALUE"""),100043.0)</f>
        <v>100043</v>
      </c>
      <c r="B45" s="5" t="str">
        <f>IFERROR(__xludf.DUMMYFUNCTION("""COMPUTED_VALUE"""),"BRI-2")</f>
        <v>BRI-2</v>
      </c>
      <c r="C45" s="5">
        <f>IFERROR(__xludf.DUMMYFUNCTION("""COMPUTED_VALUE"""),9910.0)</f>
        <v>9910</v>
      </c>
      <c r="D45" s="5"/>
      <c r="E45" s="5"/>
      <c r="F45" s="5">
        <f>IFERROR(__xludf.DUMMYFUNCTION("""COMPUTED_VALUE"""),1.0)</f>
        <v>1</v>
      </c>
      <c r="G45" s="5"/>
      <c r="H45" s="5"/>
      <c r="I45" s="5"/>
      <c r="J45" s="5"/>
      <c r="K45" s="5"/>
      <c r="L45" s="5"/>
      <c r="M45" s="5"/>
      <c r="N45" s="5">
        <f>IFERROR(__xludf.DUMMYFUNCTION("""COMPUTED_VALUE"""),16.0)</f>
        <v>16</v>
      </c>
      <c r="O45" s="5"/>
      <c r="P45" s="5"/>
      <c r="Q45" s="5" t="str">
        <f>IFERROR(__xludf.DUMMYFUNCTION("""COMPUTED_VALUE"""),"no")</f>
        <v>no</v>
      </c>
      <c r="R45" s="5" t="str">
        <f>IFERROR(__xludf.DUMMYFUNCTION("""COMPUTED_VALUE"""),"HiFi")</f>
        <v>HiFi</v>
      </c>
      <c r="S45" s="5" t="str">
        <f>IFERROR(__xludf.DUMMYFUNCTION("""COMPUTED_VALUE"""),"hifiasm_v0.15.4")</f>
        <v>hifiasm_v0.15.4</v>
      </c>
      <c r="T45" s="6" t="str">
        <f>IFERROR(__xludf.DUMMYFUNCTION("""COMPUTED_VALUE"""),"Pool")</f>
        <v>Pool</v>
      </c>
      <c r="U45" s="6">
        <f>IFERROR(__xludf.DUMMYFUNCTION("""COMPUTED_VALUE"""),2023.0)</f>
        <v>2023</v>
      </c>
      <c r="V45" s="6" t="str">
        <f>IFERROR(__xludf.DUMMYFUNCTION("""COMPUTED_VALUE"""),"yes")</f>
        <v>yes</v>
      </c>
      <c r="W45" s="6" t="str">
        <f>IFERROR(__xludf.DUMMYFUNCTION("""COMPUTED_VALUE"""),"Wlodzimierz")</f>
        <v>Wlodzimierz</v>
      </c>
      <c r="X45" s="5">
        <f>IFERROR(__xludf.DUMMYFUNCTION("""COMPUTED_VALUE"""),2023.0)</f>
        <v>2023</v>
      </c>
      <c r="Y45" s="5" t="str">
        <f>IFERROR(__xludf.DUMMYFUNCTION("""COMPUTED_VALUE"""),"Nature")</f>
        <v>Nature</v>
      </c>
      <c r="Z45" s="7" t="str">
        <f>IFERROR(__xludf.DUMMYFUNCTION("""COMPUTED_VALUE"""),"10.1038/s41586-023-06062-z")</f>
        <v>10.1038/s41586-023-06062-z</v>
      </c>
      <c r="AA45" s="7" t="str">
        <f>IFERROR(__xludf.DUMMYFUNCTION("""COMPUTED_VALUE"""),"https://www.nature.com/articles/s41586-023-06062-z")</f>
        <v>https://www.nature.com/articles/s41586-023-06062-z</v>
      </c>
      <c r="AB45" s="5"/>
    </row>
    <row r="46">
      <c r="A46" s="5">
        <f>IFERROR(__xludf.DUMMYFUNCTION("""COMPUTED_VALUE"""),100044.0)</f>
        <v>100044</v>
      </c>
      <c r="B46" s="5" t="str">
        <f>IFERROR(__xludf.DUMMYFUNCTION("""COMPUTED_VALUE"""),"Bön 1")</f>
        <v>Bön 1</v>
      </c>
      <c r="C46" s="5">
        <f>IFERROR(__xludf.DUMMYFUNCTION("""COMPUTED_VALUE"""),9336.0)</f>
        <v>9336</v>
      </c>
      <c r="D46" s="5"/>
      <c r="E46" s="5"/>
      <c r="F46" s="5">
        <f>IFERROR(__xludf.DUMMYFUNCTION("""COMPUTED_VALUE"""),1.0)</f>
        <v>1</v>
      </c>
      <c r="G46" s="5"/>
      <c r="H46" s="5"/>
      <c r="I46" s="5"/>
      <c r="J46" s="5" t="str">
        <f>IFERROR(__xludf.DUMMYFUNCTION("""COMPUTED_VALUE"""),"CS76715")</f>
        <v>CS76715</v>
      </c>
      <c r="K46" s="5"/>
      <c r="L46" s="5"/>
      <c r="M46" s="5"/>
      <c r="N46" s="5">
        <f>IFERROR(__xludf.DUMMYFUNCTION("""COMPUTED_VALUE"""),12.0)</f>
        <v>12</v>
      </c>
      <c r="O46" s="5"/>
      <c r="P46" s="5"/>
      <c r="Q46" s="5" t="str">
        <f>IFERROR(__xludf.DUMMYFUNCTION("""COMPUTED_VALUE"""),"yes")</f>
        <v>yes</v>
      </c>
      <c r="R46" s="5" t="str">
        <f>IFERROR(__xludf.DUMMYFUNCTION("""COMPUTED_VALUE"""),"HiFi")</f>
        <v>HiFi</v>
      </c>
      <c r="S46" s="5" t="str">
        <f>IFERROR(__xludf.DUMMYFUNCTION("""COMPUTED_VALUE"""),"hifiasm_v0.15.4")</f>
        <v>hifiasm_v0.15.4</v>
      </c>
      <c r="T46" s="6" t="str">
        <f>IFERROR(__xludf.DUMMYFUNCTION("""COMPUTED_VALUE"""),"Pool")</f>
        <v>Pool</v>
      </c>
      <c r="U46" s="6">
        <f>IFERROR(__xludf.DUMMYFUNCTION("""COMPUTED_VALUE"""),2023.0)</f>
        <v>2023</v>
      </c>
      <c r="V46" s="6" t="str">
        <f>IFERROR(__xludf.DUMMYFUNCTION("""COMPUTED_VALUE"""),"yes")</f>
        <v>yes</v>
      </c>
      <c r="W46" s="6" t="str">
        <f>IFERROR(__xludf.DUMMYFUNCTION("""COMPUTED_VALUE"""),"Wlodzimierz")</f>
        <v>Wlodzimierz</v>
      </c>
      <c r="X46" s="5">
        <f>IFERROR(__xludf.DUMMYFUNCTION("""COMPUTED_VALUE"""),2023.0)</f>
        <v>2023</v>
      </c>
      <c r="Y46" s="5" t="str">
        <f>IFERROR(__xludf.DUMMYFUNCTION("""COMPUTED_VALUE"""),"Nature")</f>
        <v>Nature</v>
      </c>
      <c r="Z46" s="7" t="str">
        <f>IFERROR(__xludf.DUMMYFUNCTION("""COMPUTED_VALUE"""),"10.1038/s41586-023-06062-z")</f>
        <v>10.1038/s41586-023-06062-z</v>
      </c>
      <c r="AA46" s="7" t="str">
        <f>IFERROR(__xludf.DUMMYFUNCTION("""COMPUTED_VALUE"""),"https://www.nature.com/articles/s41586-023-06062-z")</f>
        <v>https://www.nature.com/articles/s41586-023-06062-z</v>
      </c>
      <c r="AB46" s="5"/>
    </row>
    <row r="47">
      <c r="A47" s="5">
        <f>IFERROR(__xludf.DUMMYFUNCTION("""COMPUTED_VALUE"""),100045.0)</f>
        <v>100045</v>
      </c>
      <c r="B47" s="5" t="str">
        <f>IFERROR(__xludf.DUMMYFUNCTION("""COMPUTED_VALUE"""),"DraIII-1")</f>
        <v>DraIII-1</v>
      </c>
      <c r="C47" s="5">
        <f>IFERROR(__xludf.DUMMYFUNCTION("""COMPUTED_VALUE"""),8285.0)</f>
        <v>8285</v>
      </c>
      <c r="D47" s="5"/>
      <c r="E47" s="5"/>
      <c r="F47" s="5">
        <f>IFERROR(__xludf.DUMMYFUNCTION("""COMPUTED_VALUE"""),1.0)</f>
        <v>1</v>
      </c>
      <c r="G47" s="5"/>
      <c r="H47" s="5"/>
      <c r="I47" s="5"/>
      <c r="J47" s="5" t="str">
        <f>IFERROR(__xludf.DUMMYFUNCTION("""COMPUTED_VALUE"""),"CS76815")</f>
        <v>CS76815</v>
      </c>
      <c r="K47" s="5"/>
      <c r="L47" s="5"/>
      <c r="M47" s="5"/>
      <c r="N47" s="5">
        <f>IFERROR(__xludf.DUMMYFUNCTION("""COMPUTED_VALUE"""),18.0)</f>
        <v>18</v>
      </c>
      <c r="O47" s="5"/>
      <c r="P47" s="5"/>
      <c r="Q47" s="5" t="str">
        <f>IFERROR(__xludf.DUMMYFUNCTION("""COMPUTED_VALUE"""),"no")</f>
        <v>no</v>
      </c>
      <c r="R47" s="5" t="str">
        <f>IFERROR(__xludf.DUMMYFUNCTION("""COMPUTED_VALUE"""),"HiFi")</f>
        <v>HiFi</v>
      </c>
      <c r="S47" s="5" t="str">
        <f>IFERROR(__xludf.DUMMYFUNCTION("""COMPUTED_VALUE"""),"hifiasm_v0.15.4")</f>
        <v>hifiasm_v0.15.4</v>
      </c>
      <c r="T47" s="6" t="str">
        <f>IFERROR(__xludf.DUMMYFUNCTION("""COMPUTED_VALUE"""),"Pool")</f>
        <v>Pool</v>
      </c>
      <c r="U47" s="6">
        <f>IFERROR(__xludf.DUMMYFUNCTION("""COMPUTED_VALUE"""),2023.0)</f>
        <v>2023</v>
      </c>
      <c r="V47" s="6" t="str">
        <f>IFERROR(__xludf.DUMMYFUNCTION("""COMPUTED_VALUE"""),"yes")</f>
        <v>yes</v>
      </c>
      <c r="W47" s="6" t="str">
        <f>IFERROR(__xludf.DUMMYFUNCTION("""COMPUTED_VALUE"""),"Wlodzimierz")</f>
        <v>Wlodzimierz</v>
      </c>
      <c r="X47" s="5">
        <f>IFERROR(__xludf.DUMMYFUNCTION("""COMPUTED_VALUE"""),2023.0)</f>
        <v>2023</v>
      </c>
      <c r="Y47" s="5" t="str">
        <f>IFERROR(__xludf.DUMMYFUNCTION("""COMPUTED_VALUE"""),"Nature")</f>
        <v>Nature</v>
      </c>
      <c r="Z47" s="7" t="str">
        <f>IFERROR(__xludf.DUMMYFUNCTION("""COMPUTED_VALUE"""),"10.1038/s41586-023-06062-z")</f>
        <v>10.1038/s41586-023-06062-z</v>
      </c>
      <c r="AA47" s="7" t="str">
        <f>IFERROR(__xludf.DUMMYFUNCTION("""COMPUTED_VALUE"""),"https://www.nature.com/articles/s41586-023-06062-z")</f>
        <v>https://www.nature.com/articles/s41586-023-06062-z</v>
      </c>
      <c r="AB47" s="5"/>
    </row>
    <row r="48">
      <c r="A48" s="5">
        <f>IFERROR(__xludf.DUMMYFUNCTION("""COMPUTED_VALUE"""),100046.0)</f>
        <v>100046</v>
      </c>
      <c r="B48" s="5" t="str">
        <f>IFERROR(__xludf.DUMMYFUNCTION("""COMPUTED_VALUE"""),"Etna-2")</f>
        <v>Etna-2</v>
      </c>
      <c r="C48" s="5">
        <f>IFERROR(__xludf.DUMMYFUNCTION("""COMPUTED_VALUE"""),9762.0)</f>
        <v>9762</v>
      </c>
      <c r="D48" s="5"/>
      <c r="E48" s="5"/>
      <c r="F48" s="5">
        <f>IFERROR(__xludf.DUMMYFUNCTION("""COMPUTED_VALUE"""),1.0)</f>
        <v>1</v>
      </c>
      <c r="G48" s="5"/>
      <c r="H48" s="5"/>
      <c r="I48" s="5"/>
      <c r="J48" s="5" t="str">
        <f>IFERROR(__xludf.DUMMYFUNCTION("""COMPUTED_VALUE"""),"CS76487")</f>
        <v>CS76487</v>
      </c>
      <c r="K48" s="5"/>
      <c r="L48" s="5"/>
      <c r="M48" s="5"/>
      <c r="N48" s="5">
        <f>IFERROR(__xludf.DUMMYFUNCTION("""COMPUTED_VALUE"""),25.0)</f>
        <v>25</v>
      </c>
      <c r="O48" s="5"/>
      <c r="P48" s="5"/>
      <c r="Q48" s="5" t="str">
        <f>IFERROR(__xludf.DUMMYFUNCTION("""COMPUTED_VALUE"""),"no")</f>
        <v>no</v>
      </c>
      <c r="R48" s="5" t="str">
        <f>IFERROR(__xludf.DUMMYFUNCTION("""COMPUTED_VALUE"""),"HiFi")</f>
        <v>HiFi</v>
      </c>
      <c r="S48" s="5" t="str">
        <f>IFERROR(__xludf.DUMMYFUNCTION("""COMPUTED_VALUE"""),"hifiasm_v0.15.4")</f>
        <v>hifiasm_v0.15.4</v>
      </c>
      <c r="T48" s="6" t="str">
        <f>IFERROR(__xludf.DUMMYFUNCTION("""COMPUTED_VALUE"""),"Pool")</f>
        <v>Pool</v>
      </c>
      <c r="U48" s="6">
        <f>IFERROR(__xludf.DUMMYFUNCTION("""COMPUTED_VALUE"""),2023.0)</f>
        <v>2023</v>
      </c>
      <c r="V48" s="6" t="str">
        <f>IFERROR(__xludf.DUMMYFUNCTION("""COMPUTED_VALUE"""),"yes")</f>
        <v>yes</v>
      </c>
      <c r="W48" s="6" t="str">
        <f>IFERROR(__xludf.DUMMYFUNCTION("""COMPUTED_VALUE"""),"Wlodzimierz")</f>
        <v>Wlodzimierz</v>
      </c>
      <c r="X48" s="5">
        <f>IFERROR(__xludf.DUMMYFUNCTION("""COMPUTED_VALUE"""),2023.0)</f>
        <v>2023</v>
      </c>
      <c r="Y48" s="5" t="str">
        <f>IFERROR(__xludf.DUMMYFUNCTION("""COMPUTED_VALUE"""),"Nature")</f>
        <v>Nature</v>
      </c>
      <c r="Z48" s="7" t="str">
        <f>IFERROR(__xludf.DUMMYFUNCTION("""COMPUTED_VALUE"""),"10.1038/s41586-023-06062-z")</f>
        <v>10.1038/s41586-023-06062-z</v>
      </c>
      <c r="AA48" s="7" t="str">
        <f>IFERROR(__xludf.DUMMYFUNCTION("""COMPUTED_VALUE"""),"https://www.nature.com/articles/s41586-023-06062-z")</f>
        <v>https://www.nature.com/articles/s41586-023-06062-z</v>
      </c>
      <c r="AB48" s="5"/>
    </row>
    <row r="49">
      <c r="A49" s="5">
        <f>IFERROR(__xludf.DUMMYFUNCTION("""COMPUTED_VALUE"""),100047.0)</f>
        <v>100047</v>
      </c>
      <c r="B49" s="5" t="str">
        <f>IFERROR(__xludf.DUMMYFUNCTION("""COMPUTED_VALUE"""),"Gel-1")</f>
        <v>Gel-1</v>
      </c>
      <c r="C49" s="5">
        <f>IFERROR(__xludf.DUMMYFUNCTION("""COMPUTED_VALUE"""),7143.0)</f>
        <v>7143</v>
      </c>
      <c r="D49" s="5"/>
      <c r="E49" s="5"/>
      <c r="F49" s="5">
        <f>IFERROR(__xludf.DUMMYFUNCTION("""COMPUTED_VALUE"""),1.0)</f>
        <v>1</v>
      </c>
      <c r="G49" s="5"/>
      <c r="H49" s="5"/>
      <c r="I49" s="5"/>
      <c r="J49" s="5" t="str">
        <f>IFERROR(__xludf.DUMMYFUNCTION("""COMPUTED_VALUE"""),"CS76492")</f>
        <v>CS76492</v>
      </c>
      <c r="K49" s="5"/>
      <c r="L49" s="5"/>
      <c r="M49" s="5"/>
      <c r="N49" s="5">
        <f>IFERROR(__xludf.DUMMYFUNCTION("""COMPUTED_VALUE"""),11.0)</f>
        <v>11</v>
      </c>
      <c r="O49" s="5"/>
      <c r="P49" s="5"/>
      <c r="Q49" s="5" t="str">
        <f>IFERROR(__xludf.DUMMYFUNCTION("""COMPUTED_VALUE"""),"yes")</f>
        <v>yes</v>
      </c>
      <c r="R49" s="5" t="str">
        <f>IFERROR(__xludf.DUMMYFUNCTION("""COMPUTED_VALUE"""),"HiFi")</f>
        <v>HiFi</v>
      </c>
      <c r="S49" s="5" t="str">
        <f>IFERROR(__xludf.DUMMYFUNCTION("""COMPUTED_VALUE"""),"hifiasm_v0.15.4")</f>
        <v>hifiasm_v0.15.4</v>
      </c>
      <c r="T49" s="6" t="str">
        <f>IFERROR(__xludf.DUMMYFUNCTION("""COMPUTED_VALUE"""),"Pool")</f>
        <v>Pool</v>
      </c>
      <c r="U49" s="6">
        <f>IFERROR(__xludf.DUMMYFUNCTION("""COMPUTED_VALUE"""),2023.0)</f>
        <v>2023</v>
      </c>
      <c r="V49" s="6" t="str">
        <f>IFERROR(__xludf.DUMMYFUNCTION("""COMPUTED_VALUE"""),"yes")</f>
        <v>yes</v>
      </c>
      <c r="W49" s="6" t="str">
        <f>IFERROR(__xludf.DUMMYFUNCTION("""COMPUTED_VALUE"""),"Wlodzimierz")</f>
        <v>Wlodzimierz</v>
      </c>
      <c r="X49" s="5">
        <f>IFERROR(__xludf.DUMMYFUNCTION("""COMPUTED_VALUE"""),2023.0)</f>
        <v>2023</v>
      </c>
      <c r="Y49" s="5" t="str">
        <f>IFERROR(__xludf.DUMMYFUNCTION("""COMPUTED_VALUE"""),"Nature")</f>
        <v>Nature</v>
      </c>
      <c r="Z49" s="7" t="str">
        <f>IFERROR(__xludf.DUMMYFUNCTION("""COMPUTED_VALUE"""),"10.1038/s41586-023-06062-z")</f>
        <v>10.1038/s41586-023-06062-z</v>
      </c>
      <c r="AA49" s="7" t="str">
        <f>IFERROR(__xludf.DUMMYFUNCTION("""COMPUTED_VALUE"""),"https://www.nature.com/articles/s41586-023-06062-z")</f>
        <v>https://www.nature.com/articles/s41586-023-06062-z</v>
      </c>
      <c r="AB49" s="5"/>
    </row>
    <row r="50">
      <c r="A50" s="5">
        <f>IFERROR(__xludf.DUMMYFUNCTION("""COMPUTED_VALUE"""),100048.0)</f>
        <v>100048</v>
      </c>
      <c r="B50" s="5" t="str">
        <f>IFERROR(__xludf.DUMMYFUNCTION("""COMPUTED_VALUE"""),"HR-10")</f>
        <v>HR-10</v>
      </c>
      <c r="C50" s="5">
        <f>IFERROR(__xludf.DUMMYFUNCTION("""COMPUTED_VALUE"""),6923.0)</f>
        <v>6923</v>
      </c>
      <c r="D50" s="5"/>
      <c r="E50" s="5"/>
      <c r="F50" s="5">
        <f>IFERROR(__xludf.DUMMYFUNCTION("""COMPUTED_VALUE"""),1.0)</f>
        <v>1</v>
      </c>
      <c r="G50" s="5"/>
      <c r="H50" s="5"/>
      <c r="I50" s="5"/>
      <c r="J50" s="5" t="str">
        <f>IFERROR(__xludf.DUMMYFUNCTION("""COMPUTED_VALUE"""),"CS76940")</f>
        <v>CS76940</v>
      </c>
      <c r="K50" s="5"/>
      <c r="L50" s="5"/>
      <c r="M50" s="5"/>
      <c r="N50" s="5">
        <f>IFERROR(__xludf.DUMMYFUNCTION("""COMPUTED_VALUE"""),17.0)</f>
        <v>17</v>
      </c>
      <c r="O50" s="5"/>
      <c r="P50" s="5"/>
      <c r="Q50" s="5" t="str">
        <f>IFERROR(__xludf.DUMMYFUNCTION("""COMPUTED_VALUE"""),"no")</f>
        <v>no</v>
      </c>
      <c r="R50" s="5" t="str">
        <f>IFERROR(__xludf.DUMMYFUNCTION("""COMPUTED_VALUE"""),"HiFi")</f>
        <v>HiFi</v>
      </c>
      <c r="S50" s="5" t="str">
        <f>IFERROR(__xludf.DUMMYFUNCTION("""COMPUTED_VALUE"""),"hifiasm_v0.15.4")</f>
        <v>hifiasm_v0.15.4</v>
      </c>
      <c r="T50" s="6" t="str">
        <f>IFERROR(__xludf.DUMMYFUNCTION("""COMPUTED_VALUE"""),"Pool")</f>
        <v>Pool</v>
      </c>
      <c r="U50" s="6">
        <f>IFERROR(__xludf.DUMMYFUNCTION("""COMPUTED_VALUE"""),2023.0)</f>
        <v>2023</v>
      </c>
      <c r="V50" s="6" t="str">
        <f>IFERROR(__xludf.DUMMYFUNCTION("""COMPUTED_VALUE"""),"yes")</f>
        <v>yes</v>
      </c>
      <c r="W50" s="6" t="str">
        <f>IFERROR(__xludf.DUMMYFUNCTION("""COMPUTED_VALUE"""),"Wlodzimierz")</f>
        <v>Wlodzimierz</v>
      </c>
      <c r="X50" s="5">
        <f>IFERROR(__xludf.DUMMYFUNCTION("""COMPUTED_VALUE"""),2023.0)</f>
        <v>2023</v>
      </c>
      <c r="Y50" s="5" t="str">
        <f>IFERROR(__xludf.DUMMYFUNCTION("""COMPUTED_VALUE"""),"Nature")</f>
        <v>Nature</v>
      </c>
      <c r="Z50" s="7" t="str">
        <f>IFERROR(__xludf.DUMMYFUNCTION("""COMPUTED_VALUE"""),"10.1038/s41586-023-06062-z")</f>
        <v>10.1038/s41586-023-06062-z</v>
      </c>
      <c r="AA50" s="7" t="str">
        <f>IFERROR(__xludf.DUMMYFUNCTION("""COMPUTED_VALUE"""),"https://www.nature.com/articles/s41586-023-06062-z")</f>
        <v>https://www.nature.com/articles/s41586-023-06062-z</v>
      </c>
      <c r="AB50" s="5"/>
    </row>
    <row r="51">
      <c r="A51" s="5">
        <f>IFERROR(__xludf.DUMMYFUNCTION("""COMPUTED_VALUE"""),100049.0)</f>
        <v>100049</v>
      </c>
      <c r="B51" s="5" t="str">
        <f>IFERROR(__xludf.DUMMYFUNCTION("""COMPUTED_VALUE"""),"Iasi-1")</f>
        <v>Iasi-1</v>
      </c>
      <c r="C51" s="5">
        <f>IFERROR(__xludf.DUMMYFUNCTION("""COMPUTED_VALUE"""),9744.0)</f>
        <v>9744</v>
      </c>
      <c r="D51" s="5"/>
      <c r="E51" s="5"/>
      <c r="F51" s="5">
        <f>IFERROR(__xludf.DUMMYFUNCTION("""COMPUTED_VALUE"""),1.0)</f>
        <v>1</v>
      </c>
      <c r="G51" s="5"/>
      <c r="H51" s="5"/>
      <c r="I51" s="5"/>
      <c r="J51" s="5" t="str">
        <f>IFERROR(__xludf.DUMMYFUNCTION("""COMPUTED_VALUE"""),"CS76944")</f>
        <v>CS76944</v>
      </c>
      <c r="K51" s="5"/>
      <c r="L51" s="5"/>
      <c r="M51" s="5"/>
      <c r="N51" s="5">
        <f>IFERROR(__xludf.DUMMYFUNCTION("""COMPUTED_VALUE"""),15.0)</f>
        <v>15</v>
      </c>
      <c r="O51" s="5"/>
      <c r="P51" s="5"/>
      <c r="Q51" s="5" t="str">
        <f>IFERROR(__xludf.DUMMYFUNCTION("""COMPUTED_VALUE"""),"yes")</f>
        <v>yes</v>
      </c>
      <c r="R51" s="5" t="str">
        <f>IFERROR(__xludf.DUMMYFUNCTION("""COMPUTED_VALUE"""),"HiFi")</f>
        <v>HiFi</v>
      </c>
      <c r="S51" s="5" t="str">
        <f>IFERROR(__xludf.DUMMYFUNCTION("""COMPUTED_VALUE"""),"hifiasm_v0.15.4")</f>
        <v>hifiasm_v0.15.4</v>
      </c>
      <c r="T51" s="6" t="str">
        <f>IFERROR(__xludf.DUMMYFUNCTION("""COMPUTED_VALUE"""),"Pool")</f>
        <v>Pool</v>
      </c>
      <c r="U51" s="6">
        <f>IFERROR(__xludf.DUMMYFUNCTION("""COMPUTED_VALUE"""),2023.0)</f>
        <v>2023</v>
      </c>
      <c r="V51" s="6" t="str">
        <f>IFERROR(__xludf.DUMMYFUNCTION("""COMPUTED_VALUE"""),"yes")</f>
        <v>yes</v>
      </c>
      <c r="W51" s="6" t="str">
        <f>IFERROR(__xludf.DUMMYFUNCTION("""COMPUTED_VALUE"""),"Wlodzimierz")</f>
        <v>Wlodzimierz</v>
      </c>
      <c r="X51" s="5">
        <f>IFERROR(__xludf.DUMMYFUNCTION("""COMPUTED_VALUE"""),2023.0)</f>
        <v>2023</v>
      </c>
      <c r="Y51" s="5" t="str">
        <f>IFERROR(__xludf.DUMMYFUNCTION("""COMPUTED_VALUE"""),"Nature")</f>
        <v>Nature</v>
      </c>
      <c r="Z51" s="7" t="str">
        <f>IFERROR(__xludf.DUMMYFUNCTION("""COMPUTED_VALUE"""),"10.1038/s41586-023-06062-z")</f>
        <v>10.1038/s41586-023-06062-z</v>
      </c>
      <c r="AA51" s="7" t="str">
        <f>IFERROR(__xludf.DUMMYFUNCTION("""COMPUTED_VALUE"""),"https://www.nature.com/articles/s41586-023-06062-z")</f>
        <v>https://www.nature.com/articles/s41586-023-06062-z</v>
      </c>
      <c r="AB51" s="5"/>
    </row>
    <row r="52">
      <c r="A52" s="5">
        <f>IFERROR(__xludf.DUMMYFUNCTION("""COMPUTED_VALUE"""),100050.0)</f>
        <v>100050</v>
      </c>
      <c r="B52" s="5" t="str">
        <f>IFERROR(__xludf.DUMMYFUNCTION("""COMPUTED_VALUE"""),"IP-Bus-0")</f>
        <v>IP-Bus-0</v>
      </c>
      <c r="C52" s="5">
        <f>IFERROR(__xludf.DUMMYFUNCTION("""COMPUTED_VALUE"""),9830.0)</f>
        <v>9830</v>
      </c>
      <c r="D52" s="5"/>
      <c r="E52" s="5"/>
      <c r="F52" s="5">
        <f>IFERROR(__xludf.DUMMYFUNCTION("""COMPUTED_VALUE"""),1.0)</f>
        <v>1</v>
      </c>
      <c r="G52" s="5"/>
      <c r="H52" s="5"/>
      <c r="I52" s="5"/>
      <c r="J52" s="5" t="str">
        <f>IFERROR(__xludf.DUMMYFUNCTION("""COMPUTED_VALUE"""),"CS76736")</f>
        <v>CS76736</v>
      </c>
      <c r="K52" s="5"/>
      <c r="L52" s="5"/>
      <c r="M52" s="5"/>
      <c r="N52" s="5">
        <f>IFERROR(__xludf.DUMMYFUNCTION("""COMPUTED_VALUE"""),11.0)</f>
        <v>11</v>
      </c>
      <c r="O52" s="5"/>
      <c r="P52" s="5"/>
      <c r="Q52" s="5" t="str">
        <f>IFERROR(__xludf.DUMMYFUNCTION("""COMPUTED_VALUE"""),"no")</f>
        <v>no</v>
      </c>
      <c r="R52" s="5" t="str">
        <f>IFERROR(__xludf.DUMMYFUNCTION("""COMPUTED_VALUE"""),"HiFi")</f>
        <v>HiFi</v>
      </c>
      <c r="S52" s="5" t="str">
        <f>IFERROR(__xludf.DUMMYFUNCTION("""COMPUTED_VALUE"""),"hifiasm_v0.15.4")</f>
        <v>hifiasm_v0.15.4</v>
      </c>
      <c r="T52" s="6" t="str">
        <f>IFERROR(__xludf.DUMMYFUNCTION("""COMPUTED_VALUE"""),"Pool")</f>
        <v>Pool</v>
      </c>
      <c r="U52" s="6">
        <f>IFERROR(__xludf.DUMMYFUNCTION("""COMPUTED_VALUE"""),2023.0)</f>
        <v>2023</v>
      </c>
      <c r="V52" s="6" t="str">
        <f>IFERROR(__xludf.DUMMYFUNCTION("""COMPUTED_VALUE"""),"yes")</f>
        <v>yes</v>
      </c>
      <c r="W52" s="6" t="str">
        <f>IFERROR(__xludf.DUMMYFUNCTION("""COMPUTED_VALUE"""),"Wlodzimierz")</f>
        <v>Wlodzimierz</v>
      </c>
      <c r="X52" s="5">
        <f>IFERROR(__xludf.DUMMYFUNCTION("""COMPUTED_VALUE"""),2023.0)</f>
        <v>2023</v>
      </c>
      <c r="Y52" s="5" t="str">
        <f>IFERROR(__xludf.DUMMYFUNCTION("""COMPUTED_VALUE"""),"Nature")</f>
        <v>Nature</v>
      </c>
      <c r="Z52" s="7" t="str">
        <f>IFERROR(__xludf.DUMMYFUNCTION("""COMPUTED_VALUE"""),"10.1038/s41586-023-06062-z")</f>
        <v>10.1038/s41586-023-06062-z</v>
      </c>
      <c r="AA52" s="7" t="str">
        <f>IFERROR(__xludf.DUMMYFUNCTION("""COMPUTED_VALUE"""),"https://www.nature.com/articles/s41586-023-06062-z")</f>
        <v>https://www.nature.com/articles/s41586-023-06062-z</v>
      </c>
      <c r="AB52" s="5"/>
    </row>
    <row r="53">
      <c r="A53" s="5">
        <f>IFERROR(__xludf.DUMMYFUNCTION("""COMPUTED_VALUE"""),100051.0)</f>
        <v>100051</v>
      </c>
      <c r="B53" s="5" t="str">
        <f>IFERROR(__xludf.DUMMYFUNCTION("""COMPUTED_VALUE"""),"IP-Fel-2")</f>
        <v>IP-Fel-2</v>
      </c>
      <c r="C53" s="5">
        <f>IFERROR(__xludf.DUMMYFUNCTION("""COMPUTED_VALUE"""),9847.0)</f>
        <v>9847</v>
      </c>
      <c r="D53" s="5"/>
      <c r="E53" s="5"/>
      <c r="F53" s="5">
        <f>IFERROR(__xludf.DUMMYFUNCTION("""COMPUTED_VALUE"""),1.0)</f>
        <v>1</v>
      </c>
      <c r="G53" s="5"/>
      <c r="H53" s="5"/>
      <c r="I53" s="5"/>
      <c r="J53" s="5" t="str">
        <f>IFERROR(__xludf.DUMMYFUNCTION("""COMPUTED_VALUE"""),"CS76854")</f>
        <v>CS76854</v>
      </c>
      <c r="K53" s="5"/>
      <c r="L53" s="5"/>
      <c r="M53" s="5"/>
      <c r="N53" s="5">
        <f>IFERROR(__xludf.DUMMYFUNCTION("""COMPUTED_VALUE"""),19.0)</f>
        <v>19</v>
      </c>
      <c r="O53" s="5"/>
      <c r="P53" s="5"/>
      <c r="Q53" s="5" t="str">
        <f>IFERROR(__xludf.DUMMYFUNCTION("""COMPUTED_VALUE"""),"yes")</f>
        <v>yes</v>
      </c>
      <c r="R53" s="5" t="str">
        <f>IFERROR(__xludf.DUMMYFUNCTION("""COMPUTED_VALUE"""),"HiFi")</f>
        <v>HiFi</v>
      </c>
      <c r="S53" s="5" t="str">
        <f>IFERROR(__xludf.DUMMYFUNCTION("""COMPUTED_VALUE"""),"hifiasm_v0.15.4")</f>
        <v>hifiasm_v0.15.4</v>
      </c>
      <c r="T53" s="6" t="str">
        <f>IFERROR(__xludf.DUMMYFUNCTION("""COMPUTED_VALUE"""),"Pool")</f>
        <v>Pool</v>
      </c>
      <c r="U53" s="6">
        <f>IFERROR(__xludf.DUMMYFUNCTION("""COMPUTED_VALUE"""),2023.0)</f>
        <v>2023</v>
      </c>
      <c r="V53" s="6" t="str">
        <f>IFERROR(__xludf.DUMMYFUNCTION("""COMPUTED_VALUE"""),"yes")</f>
        <v>yes</v>
      </c>
      <c r="W53" s="6" t="str">
        <f>IFERROR(__xludf.DUMMYFUNCTION("""COMPUTED_VALUE"""),"Wlodzimierz")</f>
        <v>Wlodzimierz</v>
      </c>
      <c r="X53" s="5">
        <f>IFERROR(__xludf.DUMMYFUNCTION("""COMPUTED_VALUE"""),2023.0)</f>
        <v>2023</v>
      </c>
      <c r="Y53" s="5" t="str">
        <f>IFERROR(__xludf.DUMMYFUNCTION("""COMPUTED_VALUE"""),"Nature")</f>
        <v>Nature</v>
      </c>
      <c r="Z53" s="7" t="str">
        <f>IFERROR(__xludf.DUMMYFUNCTION("""COMPUTED_VALUE"""),"10.1038/s41586-023-06062-z")</f>
        <v>10.1038/s41586-023-06062-z</v>
      </c>
      <c r="AA53" s="7" t="str">
        <f>IFERROR(__xludf.DUMMYFUNCTION("""COMPUTED_VALUE"""),"https://www.nature.com/articles/s41586-023-06062-z")</f>
        <v>https://www.nature.com/articles/s41586-023-06062-z</v>
      </c>
      <c r="AB53" s="5"/>
    </row>
    <row r="54">
      <c r="A54" s="5">
        <f>IFERROR(__xludf.DUMMYFUNCTION("""COMPUTED_VALUE"""),100052.0)</f>
        <v>100052</v>
      </c>
      <c r="B54" s="5" t="str">
        <f>IFERROR(__xludf.DUMMYFUNCTION("""COMPUTED_VALUE"""),"IP-Ini-0")</f>
        <v>IP-Ini-0</v>
      </c>
      <c r="C54" s="5">
        <f>IFERROR(__xludf.DUMMYFUNCTION("""COMPUTED_VALUE"""),9852.0)</f>
        <v>9852</v>
      </c>
      <c r="D54" s="5"/>
      <c r="E54" s="5"/>
      <c r="F54" s="5">
        <f>IFERROR(__xludf.DUMMYFUNCTION("""COMPUTED_VALUE"""),1.0)</f>
        <v>1</v>
      </c>
      <c r="G54" s="5"/>
      <c r="H54" s="5"/>
      <c r="I54" s="5"/>
      <c r="J54" s="5" t="str">
        <f>IFERROR(__xludf.DUMMYFUNCTION("""COMPUTED_VALUE"""),"CS76945")</f>
        <v>CS76945</v>
      </c>
      <c r="K54" s="5"/>
      <c r="L54" s="5"/>
      <c r="M54" s="5"/>
      <c r="N54" s="5">
        <f>IFERROR(__xludf.DUMMYFUNCTION("""COMPUTED_VALUE"""),11.0)</f>
        <v>11</v>
      </c>
      <c r="O54" s="5"/>
      <c r="P54" s="5"/>
      <c r="Q54" s="5" t="str">
        <f>IFERROR(__xludf.DUMMYFUNCTION("""COMPUTED_VALUE"""),"yes")</f>
        <v>yes</v>
      </c>
      <c r="R54" s="5" t="str">
        <f>IFERROR(__xludf.DUMMYFUNCTION("""COMPUTED_VALUE"""),"HiFi")</f>
        <v>HiFi</v>
      </c>
      <c r="S54" s="5" t="str">
        <f>IFERROR(__xludf.DUMMYFUNCTION("""COMPUTED_VALUE"""),"hifiasm_v0.15.4")</f>
        <v>hifiasm_v0.15.4</v>
      </c>
      <c r="T54" s="6" t="str">
        <f>IFERROR(__xludf.DUMMYFUNCTION("""COMPUTED_VALUE"""),"Pool")</f>
        <v>Pool</v>
      </c>
      <c r="U54" s="6">
        <f>IFERROR(__xludf.DUMMYFUNCTION("""COMPUTED_VALUE"""),2023.0)</f>
        <v>2023</v>
      </c>
      <c r="V54" s="6" t="str">
        <f>IFERROR(__xludf.DUMMYFUNCTION("""COMPUTED_VALUE"""),"yes")</f>
        <v>yes</v>
      </c>
      <c r="W54" s="6" t="str">
        <f>IFERROR(__xludf.DUMMYFUNCTION("""COMPUTED_VALUE"""),"Wlodzimierz")</f>
        <v>Wlodzimierz</v>
      </c>
      <c r="X54" s="5">
        <f>IFERROR(__xludf.DUMMYFUNCTION("""COMPUTED_VALUE"""),2023.0)</f>
        <v>2023</v>
      </c>
      <c r="Y54" s="5" t="str">
        <f>IFERROR(__xludf.DUMMYFUNCTION("""COMPUTED_VALUE"""),"Nature")</f>
        <v>Nature</v>
      </c>
      <c r="Z54" s="7" t="str">
        <f>IFERROR(__xludf.DUMMYFUNCTION("""COMPUTED_VALUE"""),"10.1038/s41586-023-06062-z")</f>
        <v>10.1038/s41586-023-06062-z</v>
      </c>
      <c r="AA54" s="7" t="str">
        <f>IFERROR(__xludf.DUMMYFUNCTION("""COMPUTED_VALUE"""),"https://www.nature.com/articles/s41586-023-06062-z")</f>
        <v>https://www.nature.com/articles/s41586-023-06062-z</v>
      </c>
      <c r="AB54" s="5"/>
    </row>
    <row r="55">
      <c r="A55" s="5">
        <f>IFERROR(__xludf.DUMMYFUNCTION("""COMPUTED_VALUE"""),100053.0)</f>
        <v>100053</v>
      </c>
      <c r="B55" s="5" t="str">
        <f>IFERROR(__xludf.DUMMYFUNCTION("""COMPUTED_VALUE"""),"IP-Per-0")</f>
        <v>IP-Per-0</v>
      </c>
      <c r="C55" s="5">
        <f>IFERROR(__xludf.DUMMYFUNCTION("""COMPUTED_VALUE"""),9879.0)</f>
        <v>9879</v>
      </c>
      <c r="D55" s="5"/>
      <c r="E55" s="5">
        <f>IFERROR(__xludf.DUMMYFUNCTION("""COMPUTED_VALUE"""),100319.0)</f>
        <v>100319</v>
      </c>
      <c r="F55" s="5">
        <f>IFERROR(__xludf.DUMMYFUNCTION("""COMPUTED_VALUE"""),2.0)</f>
        <v>2</v>
      </c>
      <c r="G55" s="5"/>
      <c r="H55" s="5" t="str">
        <f>IFERROR(__xludf.DUMMYFUNCTION("""COMPUTED_VALUE"""),"There is an ONT that looks better")</f>
        <v>There is an ONT that looks better</v>
      </c>
      <c r="I55" s="5"/>
      <c r="J55" s="5" t="str">
        <f>IFERROR(__xludf.DUMMYFUNCTION("""COMPUTED_VALUE"""),"CS77169")</f>
        <v>CS77169</v>
      </c>
      <c r="K55" s="5"/>
      <c r="L55" s="5"/>
      <c r="M55" s="5"/>
      <c r="N55" s="5">
        <f>IFERROR(__xludf.DUMMYFUNCTION("""COMPUTED_VALUE"""),29.0)</f>
        <v>29</v>
      </c>
      <c r="O55" s="5"/>
      <c r="P55" s="5"/>
      <c r="Q55" s="5" t="str">
        <f>IFERROR(__xludf.DUMMYFUNCTION("""COMPUTED_VALUE"""),"no")</f>
        <v>no</v>
      </c>
      <c r="R55" s="5" t="str">
        <f>IFERROR(__xludf.DUMMYFUNCTION("""COMPUTED_VALUE"""),"HiFi")</f>
        <v>HiFi</v>
      </c>
      <c r="S55" s="5" t="str">
        <f>IFERROR(__xludf.DUMMYFUNCTION("""COMPUTED_VALUE"""),"hifiasm_v0.15.4")</f>
        <v>hifiasm_v0.15.4</v>
      </c>
      <c r="T55" s="6" t="str">
        <f>IFERROR(__xludf.DUMMYFUNCTION("""COMPUTED_VALUE"""),"Pool")</f>
        <v>Pool</v>
      </c>
      <c r="U55" s="6">
        <f>IFERROR(__xludf.DUMMYFUNCTION("""COMPUTED_VALUE"""),2023.0)</f>
        <v>2023</v>
      </c>
      <c r="V55" s="6" t="str">
        <f>IFERROR(__xludf.DUMMYFUNCTION("""COMPUTED_VALUE"""),"yes")</f>
        <v>yes</v>
      </c>
      <c r="W55" s="6" t="str">
        <f>IFERROR(__xludf.DUMMYFUNCTION("""COMPUTED_VALUE"""),"Wlodzimierz")</f>
        <v>Wlodzimierz</v>
      </c>
      <c r="X55" s="5">
        <f>IFERROR(__xludf.DUMMYFUNCTION("""COMPUTED_VALUE"""),2023.0)</f>
        <v>2023</v>
      </c>
      <c r="Y55" s="5" t="str">
        <f>IFERROR(__xludf.DUMMYFUNCTION("""COMPUTED_VALUE"""),"Nature")</f>
        <v>Nature</v>
      </c>
      <c r="Z55" s="7" t="str">
        <f>IFERROR(__xludf.DUMMYFUNCTION("""COMPUTED_VALUE"""),"10.1038/s41586-023-06062-z")</f>
        <v>10.1038/s41586-023-06062-z</v>
      </c>
      <c r="AA55" s="7" t="str">
        <f>IFERROR(__xludf.DUMMYFUNCTION("""COMPUTED_VALUE"""),"https://www.nature.com/articles/s41586-023-06062-z")</f>
        <v>https://www.nature.com/articles/s41586-023-06062-z</v>
      </c>
      <c r="AB55" s="5"/>
    </row>
    <row r="56">
      <c r="A56" s="5">
        <f>IFERROR(__xludf.DUMMYFUNCTION("""COMPUTED_VALUE"""),100054.0)</f>
        <v>100054</v>
      </c>
      <c r="B56" s="5" t="str">
        <f>IFERROR(__xludf.DUMMYFUNCTION("""COMPUTED_VALUE"""),"IP-Piq-0")</f>
        <v>IP-Piq-0</v>
      </c>
      <c r="C56" s="5">
        <f>IFERROR(__xludf.DUMMYFUNCTION("""COMPUTED_VALUE"""),9883.0)</f>
        <v>9883</v>
      </c>
      <c r="D56" s="5"/>
      <c r="E56" s="5"/>
      <c r="F56" s="5">
        <f>IFERROR(__xludf.DUMMYFUNCTION("""COMPUTED_VALUE"""),1.0)</f>
        <v>1</v>
      </c>
      <c r="G56" s="5"/>
      <c r="H56" s="5"/>
      <c r="I56" s="5"/>
      <c r="J56" s="5" t="str">
        <f>IFERROR(__xludf.DUMMYFUNCTION("""COMPUTED_VALUE"""),"CS77179")</f>
        <v>CS77179</v>
      </c>
      <c r="K56" s="5"/>
      <c r="L56" s="5"/>
      <c r="M56" s="5"/>
      <c r="N56" s="5">
        <f>IFERROR(__xludf.DUMMYFUNCTION("""COMPUTED_VALUE"""),16.0)</f>
        <v>16</v>
      </c>
      <c r="O56" s="5"/>
      <c r="P56" s="5"/>
      <c r="Q56" s="5" t="str">
        <f>IFERROR(__xludf.DUMMYFUNCTION("""COMPUTED_VALUE"""),"no")</f>
        <v>no</v>
      </c>
      <c r="R56" s="5" t="str">
        <f>IFERROR(__xludf.DUMMYFUNCTION("""COMPUTED_VALUE"""),"HiFi")</f>
        <v>HiFi</v>
      </c>
      <c r="S56" s="5" t="str">
        <f>IFERROR(__xludf.DUMMYFUNCTION("""COMPUTED_VALUE"""),"hifiasm_v0.15.4")</f>
        <v>hifiasm_v0.15.4</v>
      </c>
      <c r="T56" s="6" t="str">
        <f>IFERROR(__xludf.DUMMYFUNCTION("""COMPUTED_VALUE"""),"Pool")</f>
        <v>Pool</v>
      </c>
      <c r="U56" s="6">
        <f>IFERROR(__xludf.DUMMYFUNCTION("""COMPUTED_VALUE"""),2023.0)</f>
        <v>2023</v>
      </c>
      <c r="V56" s="6" t="str">
        <f>IFERROR(__xludf.DUMMYFUNCTION("""COMPUTED_VALUE"""),"yes")</f>
        <v>yes</v>
      </c>
      <c r="W56" s="6" t="str">
        <f>IFERROR(__xludf.DUMMYFUNCTION("""COMPUTED_VALUE"""),"Wlodzimierz")</f>
        <v>Wlodzimierz</v>
      </c>
      <c r="X56" s="5">
        <f>IFERROR(__xludf.DUMMYFUNCTION("""COMPUTED_VALUE"""),2023.0)</f>
        <v>2023</v>
      </c>
      <c r="Y56" s="5" t="str">
        <f>IFERROR(__xludf.DUMMYFUNCTION("""COMPUTED_VALUE"""),"Nature")</f>
        <v>Nature</v>
      </c>
      <c r="Z56" s="7" t="str">
        <f>IFERROR(__xludf.DUMMYFUNCTION("""COMPUTED_VALUE"""),"10.1038/s41586-023-06062-z")</f>
        <v>10.1038/s41586-023-06062-z</v>
      </c>
      <c r="AA56" s="7" t="str">
        <f>IFERROR(__xludf.DUMMYFUNCTION("""COMPUTED_VALUE"""),"https://www.nature.com/articles/s41586-023-06062-z")</f>
        <v>https://www.nature.com/articles/s41586-023-06062-z</v>
      </c>
      <c r="AB56" s="5"/>
    </row>
    <row r="57">
      <c r="A57" s="5">
        <f>IFERROR(__xludf.DUMMYFUNCTION("""COMPUTED_VALUE"""),100055.0)</f>
        <v>100055</v>
      </c>
      <c r="B57" s="5" t="str">
        <f>IFERROR(__xludf.DUMMYFUNCTION("""COMPUTED_VALUE"""),"IP-Tri-0")</f>
        <v>IP-Tri-0</v>
      </c>
      <c r="C57" s="5">
        <f>IFERROR(__xludf.DUMMYFUNCTION("""COMPUTED_VALUE"""),9900.0)</f>
        <v>9900</v>
      </c>
      <c r="D57" s="5"/>
      <c r="E57" s="5"/>
      <c r="F57" s="5">
        <f>IFERROR(__xludf.DUMMYFUNCTION("""COMPUTED_VALUE"""),1.0)</f>
        <v>1</v>
      </c>
      <c r="G57" s="5"/>
      <c r="H57" s="5"/>
      <c r="I57" s="5"/>
      <c r="J57" s="5" t="str">
        <f>IFERROR(__xludf.DUMMYFUNCTION("""COMPUTED_VALUE"""),"CS77386")</f>
        <v>CS77386</v>
      </c>
      <c r="K57" s="5"/>
      <c r="L57" s="5"/>
      <c r="M57" s="5"/>
      <c r="N57" s="5">
        <f>IFERROR(__xludf.DUMMYFUNCTION("""COMPUTED_VALUE"""),13.0)</f>
        <v>13</v>
      </c>
      <c r="O57" s="5"/>
      <c r="P57" s="5"/>
      <c r="Q57" s="5" t="str">
        <f>IFERROR(__xludf.DUMMYFUNCTION("""COMPUTED_VALUE"""),"yes")</f>
        <v>yes</v>
      </c>
      <c r="R57" s="5" t="str">
        <f>IFERROR(__xludf.DUMMYFUNCTION("""COMPUTED_VALUE"""),"HiFi")</f>
        <v>HiFi</v>
      </c>
      <c r="S57" s="5" t="str">
        <f>IFERROR(__xludf.DUMMYFUNCTION("""COMPUTED_VALUE"""),"hifiasm_v0.15.4")</f>
        <v>hifiasm_v0.15.4</v>
      </c>
      <c r="T57" s="6" t="str">
        <f>IFERROR(__xludf.DUMMYFUNCTION("""COMPUTED_VALUE"""),"Pool")</f>
        <v>Pool</v>
      </c>
      <c r="U57" s="6">
        <f>IFERROR(__xludf.DUMMYFUNCTION("""COMPUTED_VALUE"""),2023.0)</f>
        <v>2023</v>
      </c>
      <c r="V57" s="6" t="str">
        <f>IFERROR(__xludf.DUMMYFUNCTION("""COMPUTED_VALUE"""),"yes")</f>
        <v>yes</v>
      </c>
      <c r="W57" s="6" t="str">
        <f>IFERROR(__xludf.DUMMYFUNCTION("""COMPUTED_VALUE"""),"Wlodzimierz")</f>
        <v>Wlodzimierz</v>
      </c>
      <c r="X57" s="5">
        <f>IFERROR(__xludf.DUMMYFUNCTION("""COMPUTED_VALUE"""),2023.0)</f>
        <v>2023</v>
      </c>
      <c r="Y57" s="5" t="str">
        <f>IFERROR(__xludf.DUMMYFUNCTION("""COMPUTED_VALUE"""),"Nature")</f>
        <v>Nature</v>
      </c>
      <c r="Z57" s="7" t="str">
        <f>IFERROR(__xludf.DUMMYFUNCTION("""COMPUTED_VALUE"""),"10.1038/s41586-023-06062-z")</f>
        <v>10.1038/s41586-023-06062-z</v>
      </c>
      <c r="AA57" s="7" t="str">
        <f>IFERROR(__xludf.DUMMYFUNCTION("""COMPUTED_VALUE"""),"https://www.nature.com/articles/s41586-023-06062-z")</f>
        <v>https://www.nature.com/articles/s41586-023-06062-z</v>
      </c>
      <c r="AB57" s="5"/>
    </row>
    <row r="58">
      <c r="A58" s="5">
        <f>IFERROR(__xludf.DUMMYFUNCTION("""COMPUTED_VALUE"""),100056.0)</f>
        <v>100056</v>
      </c>
      <c r="B58" s="5" t="str">
        <f>IFERROR(__xludf.DUMMYFUNCTION("""COMPUTED_VALUE"""),"Ru-2")</f>
        <v>Ru-2</v>
      </c>
      <c r="C58" s="5">
        <f>IFERROR(__xludf.DUMMYFUNCTION("""COMPUTED_VALUE"""),9806.0)</f>
        <v>9806</v>
      </c>
      <c r="D58" s="5"/>
      <c r="E58" s="5"/>
      <c r="F58" s="5">
        <f>IFERROR(__xludf.DUMMYFUNCTION("""COMPUTED_VALUE"""),1.0)</f>
        <v>1</v>
      </c>
      <c r="G58" s="5"/>
      <c r="H58" s="5"/>
      <c r="I58" s="5"/>
      <c r="J58" s="5" t="str">
        <f>IFERROR(__xludf.DUMMYFUNCTION("""COMPUTED_VALUE"""),"CS77223")</f>
        <v>CS77223</v>
      </c>
      <c r="K58" s="5"/>
      <c r="L58" s="5"/>
      <c r="M58" s="5"/>
      <c r="N58" s="5">
        <f>IFERROR(__xludf.DUMMYFUNCTION("""COMPUTED_VALUE"""),15.0)</f>
        <v>15</v>
      </c>
      <c r="O58" s="5"/>
      <c r="P58" s="5"/>
      <c r="Q58" s="5" t="str">
        <f>IFERROR(__xludf.DUMMYFUNCTION("""COMPUTED_VALUE"""),"yes")</f>
        <v>yes</v>
      </c>
      <c r="R58" s="5" t="str">
        <f>IFERROR(__xludf.DUMMYFUNCTION("""COMPUTED_VALUE"""),"HiFi")</f>
        <v>HiFi</v>
      </c>
      <c r="S58" s="5" t="str">
        <f>IFERROR(__xludf.DUMMYFUNCTION("""COMPUTED_VALUE"""),"hifiasm_v0.15.4")</f>
        <v>hifiasm_v0.15.4</v>
      </c>
      <c r="T58" s="6" t="str">
        <f>IFERROR(__xludf.DUMMYFUNCTION("""COMPUTED_VALUE"""),"Pool")</f>
        <v>Pool</v>
      </c>
      <c r="U58" s="6">
        <f>IFERROR(__xludf.DUMMYFUNCTION("""COMPUTED_VALUE"""),2023.0)</f>
        <v>2023</v>
      </c>
      <c r="V58" s="6" t="str">
        <f>IFERROR(__xludf.DUMMYFUNCTION("""COMPUTED_VALUE"""),"yes")</f>
        <v>yes</v>
      </c>
      <c r="W58" s="6" t="str">
        <f>IFERROR(__xludf.DUMMYFUNCTION("""COMPUTED_VALUE"""),"Wlodzimierz")</f>
        <v>Wlodzimierz</v>
      </c>
      <c r="X58" s="5">
        <f>IFERROR(__xludf.DUMMYFUNCTION("""COMPUTED_VALUE"""),2023.0)</f>
        <v>2023</v>
      </c>
      <c r="Y58" s="5" t="str">
        <f>IFERROR(__xludf.DUMMYFUNCTION("""COMPUTED_VALUE"""),"Nature")</f>
        <v>Nature</v>
      </c>
      <c r="Z58" s="7" t="str">
        <f>IFERROR(__xludf.DUMMYFUNCTION("""COMPUTED_VALUE"""),"10.1038/s41586-023-06062-z")</f>
        <v>10.1038/s41586-023-06062-z</v>
      </c>
      <c r="AA58" s="7" t="str">
        <f>IFERROR(__xludf.DUMMYFUNCTION("""COMPUTED_VALUE"""),"https://www.nature.com/articles/s41586-023-06062-z")</f>
        <v>https://www.nature.com/articles/s41586-023-06062-z</v>
      </c>
      <c r="AB58" s="5"/>
    </row>
    <row r="59">
      <c r="A59" s="5">
        <f>IFERROR(__xludf.DUMMYFUNCTION("""COMPUTED_VALUE"""),100057.0)</f>
        <v>100057</v>
      </c>
      <c r="B59" s="5" t="str">
        <f>IFERROR(__xludf.DUMMYFUNCTION("""COMPUTED_VALUE"""),"Hov1-10")</f>
        <v>Hov1-10</v>
      </c>
      <c r="C59" s="5">
        <f>IFERROR(__xludf.DUMMYFUNCTION("""COMPUTED_VALUE"""),6035.0)</f>
        <v>6035</v>
      </c>
      <c r="D59" s="5"/>
      <c r="E59" s="5"/>
      <c r="F59" s="5">
        <f>IFERROR(__xludf.DUMMYFUNCTION("""COMPUTED_VALUE"""),1.0)</f>
        <v>1</v>
      </c>
      <c r="G59" s="5"/>
      <c r="H59" s="5"/>
      <c r="I59" s="5"/>
      <c r="J59" s="5"/>
      <c r="K59" s="5"/>
      <c r="L59" s="5"/>
      <c r="M59" s="5"/>
      <c r="N59" s="5">
        <f>IFERROR(__xludf.DUMMYFUNCTION("""COMPUTED_VALUE"""),7.0)</f>
        <v>7</v>
      </c>
      <c r="O59" s="5"/>
      <c r="P59" s="5"/>
      <c r="Q59" s="5" t="str">
        <f>IFERROR(__xludf.DUMMYFUNCTION("""COMPUTED_VALUE"""),"yes")</f>
        <v>yes</v>
      </c>
      <c r="R59" s="5" t="str">
        <f>IFERROR(__xludf.DUMMYFUNCTION("""COMPUTED_VALUE"""),"HiFi")</f>
        <v>HiFi</v>
      </c>
      <c r="S59" s="5" t="str">
        <f>IFERROR(__xludf.DUMMYFUNCTION("""COMPUTED_VALUE"""),"hifiasm_v0.16.1-r375")</f>
        <v>hifiasm_v0.16.1-r375</v>
      </c>
      <c r="T59" s="6" t="str">
        <f>IFERROR(__xludf.DUMMYFUNCTION("""COMPUTED_VALUE"""),"Pool")</f>
        <v>Pool</v>
      </c>
      <c r="U59" s="6">
        <f>IFERROR(__xludf.DUMMYFUNCTION("""COMPUTED_VALUE"""),2023.0)</f>
        <v>2023</v>
      </c>
      <c r="V59" s="6" t="str">
        <f>IFERROR(__xludf.DUMMYFUNCTION("""COMPUTED_VALUE"""),"yes")</f>
        <v>yes</v>
      </c>
      <c r="W59" s="6" t="str">
        <f>IFERROR(__xludf.DUMMYFUNCTION("""COMPUTED_VALUE"""),"Wlodzimierz")</f>
        <v>Wlodzimierz</v>
      </c>
      <c r="X59" s="5">
        <f>IFERROR(__xludf.DUMMYFUNCTION("""COMPUTED_VALUE"""),2023.0)</f>
        <v>2023</v>
      </c>
      <c r="Y59" s="5" t="str">
        <f>IFERROR(__xludf.DUMMYFUNCTION("""COMPUTED_VALUE"""),"Nature")</f>
        <v>Nature</v>
      </c>
      <c r="Z59" s="7" t="str">
        <f>IFERROR(__xludf.DUMMYFUNCTION("""COMPUTED_VALUE"""),"10.1038/s41586-023-06062-z")</f>
        <v>10.1038/s41586-023-06062-z</v>
      </c>
      <c r="AA59" s="7" t="str">
        <f>IFERROR(__xludf.DUMMYFUNCTION("""COMPUTED_VALUE"""),"https://www.nature.com/articles/s41586-023-06062-z")</f>
        <v>https://www.nature.com/articles/s41586-023-06062-z</v>
      </c>
      <c r="AB59" s="5"/>
    </row>
    <row r="60">
      <c r="A60" s="5">
        <f>IFERROR(__xludf.DUMMYFUNCTION("""COMPUTED_VALUE"""),100058.0)</f>
        <v>100058</v>
      </c>
      <c r="B60" s="5" t="str">
        <f>IFERROR(__xludf.DUMMYFUNCTION("""COMPUTED_VALUE"""),"ANGE-B-10")</f>
        <v>ANGE-B-10</v>
      </c>
      <c r="C60" s="5">
        <f>IFERROR(__xludf.DUMMYFUNCTION("""COMPUTED_VALUE"""),22009.0)</f>
        <v>22009</v>
      </c>
      <c r="D60" s="5"/>
      <c r="E60" s="5"/>
      <c r="F60" s="5">
        <f>IFERROR(__xludf.DUMMYFUNCTION("""COMPUTED_VALUE"""),1.0)</f>
        <v>1</v>
      </c>
      <c r="G60" s="5"/>
      <c r="H60" s="5"/>
      <c r="I60" s="5"/>
      <c r="J60" s="5"/>
      <c r="K60" s="5">
        <f>IFERROR(__xludf.DUMMYFUNCTION("""COMPUTED_VALUE"""),43.91214)</f>
        <v>43.91214</v>
      </c>
      <c r="L60" s="5">
        <f>IFERROR(__xludf.DUMMYFUNCTION("""COMPUTED_VALUE"""),1.656855)</f>
        <v>1.656855</v>
      </c>
      <c r="M60" s="5">
        <f>IFERROR(__xludf.DUMMYFUNCTION("""COMPUTED_VALUE"""),168.0)</f>
        <v>168</v>
      </c>
      <c r="N60" s="5">
        <f>IFERROR(__xludf.DUMMYFUNCTION("""COMPUTED_VALUE"""),8.0)</f>
        <v>8</v>
      </c>
      <c r="O60" s="5"/>
      <c r="P60" s="5"/>
      <c r="Q60" s="5" t="str">
        <f>IFERROR(__xludf.DUMMYFUNCTION("""COMPUTED_VALUE"""),"yes")</f>
        <v>yes</v>
      </c>
      <c r="R60" s="5" t="str">
        <f>IFERROR(__xludf.DUMMYFUNCTION("""COMPUTED_VALUE"""),"HiFi")</f>
        <v>HiFi</v>
      </c>
      <c r="S60" s="5" t="str">
        <f>IFERROR(__xludf.DUMMYFUNCTION("""COMPUTED_VALUE"""),"hifiasm_v0.16.1-r375")</f>
        <v>hifiasm_v0.16.1-r375</v>
      </c>
      <c r="T60" s="6" t="str">
        <f>IFERROR(__xludf.DUMMYFUNCTION("""COMPUTED_VALUE"""),"Pool")</f>
        <v>Pool</v>
      </c>
      <c r="U60" s="6">
        <f>IFERROR(__xludf.DUMMYFUNCTION("""COMPUTED_VALUE"""),2023.0)</f>
        <v>2023</v>
      </c>
      <c r="V60" s="6" t="str">
        <f>IFERROR(__xludf.DUMMYFUNCTION("""COMPUTED_VALUE"""),"yes")</f>
        <v>yes</v>
      </c>
      <c r="W60" s="6" t="str">
        <f>IFERROR(__xludf.DUMMYFUNCTION("""COMPUTED_VALUE"""),"Wlodzimierz")</f>
        <v>Wlodzimierz</v>
      </c>
      <c r="X60" s="5">
        <f>IFERROR(__xludf.DUMMYFUNCTION("""COMPUTED_VALUE"""),2023.0)</f>
        <v>2023</v>
      </c>
      <c r="Y60" s="5" t="str">
        <f>IFERROR(__xludf.DUMMYFUNCTION("""COMPUTED_VALUE"""),"Nature")</f>
        <v>Nature</v>
      </c>
      <c r="Z60" s="7" t="str">
        <f>IFERROR(__xludf.DUMMYFUNCTION("""COMPUTED_VALUE"""),"10.1038/s41586-023-06062-z")</f>
        <v>10.1038/s41586-023-06062-z</v>
      </c>
      <c r="AA60" s="7" t="str">
        <f>IFERROR(__xludf.DUMMYFUNCTION("""COMPUTED_VALUE"""),"https://www.nature.com/articles/s41586-023-06062-z")</f>
        <v>https://www.nature.com/articles/s41586-023-06062-z</v>
      </c>
      <c r="AB60" s="5"/>
    </row>
    <row r="61">
      <c r="A61" s="5">
        <f>IFERROR(__xludf.DUMMYFUNCTION("""COMPUTED_VALUE"""),100059.0)</f>
        <v>100059</v>
      </c>
      <c r="B61" s="5" t="str">
        <f>IFERROR(__xludf.DUMMYFUNCTION("""COMPUTED_VALUE"""),"ANGE-B-2")</f>
        <v>ANGE-B-2</v>
      </c>
      <c r="C61" s="5">
        <f>IFERROR(__xludf.DUMMYFUNCTION("""COMPUTED_VALUE"""),22010.0)</f>
        <v>22010</v>
      </c>
      <c r="D61" s="5"/>
      <c r="E61" s="5"/>
      <c r="F61" s="5">
        <f>IFERROR(__xludf.DUMMYFUNCTION("""COMPUTED_VALUE"""),1.0)</f>
        <v>1</v>
      </c>
      <c r="G61" s="5"/>
      <c r="H61" s="5"/>
      <c r="I61" s="5"/>
      <c r="J61" s="5"/>
      <c r="K61" s="5">
        <f>IFERROR(__xludf.DUMMYFUNCTION("""COMPUTED_VALUE"""),43.91214)</f>
        <v>43.91214</v>
      </c>
      <c r="L61" s="5">
        <f>IFERROR(__xludf.DUMMYFUNCTION("""COMPUTED_VALUE"""),1.656855)</f>
        <v>1.656855</v>
      </c>
      <c r="M61" s="5">
        <f>IFERROR(__xludf.DUMMYFUNCTION("""COMPUTED_VALUE"""),168.0)</f>
        <v>168</v>
      </c>
      <c r="N61" s="5">
        <f>IFERROR(__xludf.DUMMYFUNCTION("""COMPUTED_VALUE"""),5.0)</f>
        <v>5</v>
      </c>
      <c r="O61" s="5"/>
      <c r="P61" s="5"/>
      <c r="Q61" s="5" t="str">
        <f>IFERROR(__xludf.DUMMYFUNCTION("""COMPUTED_VALUE"""),"yes")</f>
        <v>yes</v>
      </c>
      <c r="R61" s="5" t="str">
        <f>IFERROR(__xludf.DUMMYFUNCTION("""COMPUTED_VALUE"""),"HiFi")</f>
        <v>HiFi</v>
      </c>
      <c r="S61" s="5" t="str">
        <f>IFERROR(__xludf.DUMMYFUNCTION("""COMPUTED_VALUE"""),"hifiasm_v0.16.1-r375")</f>
        <v>hifiasm_v0.16.1-r375</v>
      </c>
      <c r="T61" s="6" t="str">
        <f>IFERROR(__xludf.DUMMYFUNCTION("""COMPUTED_VALUE"""),"Pool")</f>
        <v>Pool</v>
      </c>
      <c r="U61" s="6">
        <f>IFERROR(__xludf.DUMMYFUNCTION("""COMPUTED_VALUE"""),2023.0)</f>
        <v>2023</v>
      </c>
      <c r="V61" s="6" t="str">
        <f>IFERROR(__xludf.DUMMYFUNCTION("""COMPUTED_VALUE"""),"yes")</f>
        <v>yes</v>
      </c>
      <c r="W61" s="6" t="str">
        <f>IFERROR(__xludf.DUMMYFUNCTION("""COMPUTED_VALUE"""),"Wlodzimierz")</f>
        <v>Wlodzimierz</v>
      </c>
      <c r="X61" s="5">
        <f>IFERROR(__xludf.DUMMYFUNCTION("""COMPUTED_VALUE"""),2023.0)</f>
        <v>2023</v>
      </c>
      <c r="Y61" s="5" t="str">
        <f>IFERROR(__xludf.DUMMYFUNCTION("""COMPUTED_VALUE"""),"Nature")</f>
        <v>Nature</v>
      </c>
      <c r="Z61" s="7" t="str">
        <f>IFERROR(__xludf.DUMMYFUNCTION("""COMPUTED_VALUE"""),"10.1038/s41586-023-06062-z")</f>
        <v>10.1038/s41586-023-06062-z</v>
      </c>
      <c r="AA61" s="7" t="str">
        <f>IFERROR(__xludf.DUMMYFUNCTION("""COMPUTED_VALUE"""),"https://www.nature.com/articles/s41586-023-06062-z")</f>
        <v>https://www.nature.com/articles/s41586-023-06062-z</v>
      </c>
      <c r="AB61" s="5"/>
    </row>
    <row r="62">
      <c r="A62" s="5">
        <f>IFERROR(__xludf.DUMMYFUNCTION("""COMPUTED_VALUE"""),100060.0)</f>
        <v>100060</v>
      </c>
      <c r="B62" s="5" t="str">
        <f>IFERROR(__xludf.DUMMYFUNCTION("""COMPUTED_VALUE"""),"AUZE-A-11")</f>
        <v>AUZE-A-11</v>
      </c>
      <c r="C62" s="5">
        <f>IFERROR(__xludf.DUMMYFUNCTION("""COMPUTED_VALUE"""),22011.0)</f>
        <v>22011</v>
      </c>
      <c r="D62" s="5"/>
      <c r="E62" s="5"/>
      <c r="F62" s="5">
        <f>IFERROR(__xludf.DUMMYFUNCTION("""COMPUTED_VALUE"""),1.0)</f>
        <v>1</v>
      </c>
      <c r="G62" s="5"/>
      <c r="H62" s="5"/>
      <c r="I62" s="5"/>
      <c r="J62" s="5"/>
      <c r="K62" s="5">
        <f>IFERROR(__xludf.DUMMYFUNCTION("""COMPUTED_VALUE"""),43.527792)</f>
        <v>43.527792</v>
      </c>
      <c r="L62" s="5">
        <f>IFERROR(__xludf.DUMMYFUNCTION("""COMPUTED_VALUE"""),1.491628)</f>
        <v>1.491628</v>
      </c>
      <c r="M62" s="5">
        <f>IFERROR(__xludf.DUMMYFUNCTION("""COMPUTED_VALUE"""),200.0)</f>
        <v>200</v>
      </c>
      <c r="N62" s="5">
        <f>IFERROR(__xludf.DUMMYFUNCTION("""COMPUTED_VALUE"""),9.0)</f>
        <v>9</v>
      </c>
      <c r="O62" s="5"/>
      <c r="P62" s="5"/>
      <c r="Q62" s="5" t="str">
        <f>IFERROR(__xludf.DUMMYFUNCTION("""COMPUTED_VALUE"""),"yes")</f>
        <v>yes</v>
      </c>
      <c r="R62" s="5" t="str">
        <f>IFERROR(__xludf.DUMMYFUNCTION("""COMPUTED_VALUE"""),"HiFi")</f>
        <v>HiFi</v>
      </c>
      <c r="S62" s="5" t="str">
        <f>IFERROR(__xludf.DUMMYFUNCTION("""COMPUTED_VALUE"""),"hifiasm_v0.16.1-r375")</f>
        <v>hifiasm_v0.16.1-r375</v>
      </c>
      <c r="T62" s="6" t="str">
        <f>IFERROR(__xludf.DUMMYFUNCTION("""COMPUTED_VALUE"""),"Pool")</f>
        <v>Pool</v>
      </c>
      <c r="U62" s="6">
        <f>IFERROR(__xludf.DUMMYFUNCTION("""COMPUTED_VALUE"""),2024.0)</f>
        <v>2024</v>
      </c>
      <c r="V62" s="6" t="str">
        <f>IFERROR(__xludf.DUMMYFUNCTION("""COMPUTED_VALUE"""),"no")</f>
        <v>no</v>
      </c>
      <c r="W62" s="6" t="str">
        <f>IFERROR(__xludf.DUMMYFUNCTION("""COMPUTED_VALUE"""),"Duflos")</f>
        <v>Duflos</v>
      </c>
      <c r="X62" s="5"/>
      <c r="Y62" s="5" t="str">
        <f>IFERROR(__xludf.DUMMYFUNCTION("""COMPUTED_VALUE"""),"unpublished")</f>
        <v>unpublished</v>
      </c>
      <c r="Z62" s="5"/>
      <c r="AA62" s="5"/>
      <c r="AB62" s="5"/>
    </row>
    <row r="63">
      <c r="A63" s="5">
        <f>IFERROR(__xludf.DUMMYFUNCTION("""COMPUTED_VALUE"""),100061.0)</f>
        <v>100061</v>
      </c>
      <c r="B63" s="5" t="str">
        <f>IFERROR(__xludf.DUMMYFUNCTION("""COMPUTED_VALUE"""),"AUZE-A-5")</f>
        <v>AUZE-A-5</v>
      </c>
      <c r="C63" s="5">
        <f>IFERROR(__xludf.DUMMYFUNCTION("""COMPUTED_VALUE"""),22012.0)</f>
        <v>22012</v>
      </c>
      <c r="D63" s="5"/>
      <c r="E63" s="5"/>
      <c r="F63" s="5">
        <f>IFERROR(__xludf.DUMMYFUNCTION("""COMPUTED_VALUE"""),1.0)</f>
        <v>1</v>
      </c>
      <c r="G63" s="5"/>
      <c r="H63" s="5"/>
      <c r="I63" s="5"/>
      <c r="J63" s="5"/>
      <c r="K63" s="5">
        <f>IFERROR(__xludf.DUMMYFUNCTION("""COMPUTED_VALUE"""),43.527792)</f>
        <v>43.527792</v>
      </c>
      <c r="L63" s="5">
        <f>IFERROR(__xludf.DUMMYFUNCTION("""COMPUTED_VALUE"""),1.491628)</f>
        <v>1.491628</v>
      </c>
      <c r="M63" s="5">
        <f>IFERROR(__xludf.DUMMYFUNCTION("""COMPUTED_VALUE"""),200.0)</f>
        <v>200</v>
      </c>
      <c r="N63" s="5">
        <f>IFERROR(__xludf.DUMMYFUNCTION("""COMPUTED_VALUE"""),9.0)</f>
        <v>9</v>
      </c>
      <c r="O63" s="5"/>
      <c r="P63" s="5"/>
      <c r="Q63" s="5" t="str">
        <f>IFERROR(__xludf.DUMMYFUNCTION("""COMPUTED_VALUE"""),"yes")</f>
        <v>yes</v>
      </c>
      <c r="R63" s="5" t="str">
        <f>IFERROR(__xludf.DUMMYFUNCTION("""COMPUTED_VALUE"""),"HiFi")</f>
        <v>HiFi</v>
      </c>
      <c r="S63" s="5" t="str">
        <f>IFERROR(__xludf.DUMMYFUNCTION("""COMPUTED_VALUE"""),"hifiasm_v0.16.1-r375")</f>
        <v>hifiasm_v0.16.1-r375</v>
      </c>
      <c r="T63" s="6" t="str">
        <f>IFERROR(__xludf.DUMMYFUNCTION("""COMPUTED_VALUE"""),"Pool")</f>
        <v>Pool</v>
      </c>
      <c r="U63" s="6">
        <f>IFERROR(__xludf.DUMMYFUNCTION("""COMPUTED_VALUE"""),2023.0)</f>
        <v>2023</v>
      </c>
      <c r="V63" s="6" t="str">
        <f>IFERROR(__xludf.DUMMYFUNCTION("""COMPUTED_VALUE"""),"yes")</f>
        <v>yes</v>
      </c>
      <c r="W63" s="6" t="str">
        <f>IFERROR(__xludf.DUMMYFUNCTION("""COMPUTED_VALUE"""),"Wlodzimierz")</f>
        <v>Wlodzimierz</v>
      </c>
      <c r="X63" s="5">
        <f>IFERROR(__xludf.DUMMYFUNCTION("""COMPUTED_VALUE"""),2023.0)</f>
        <v>2023</v>
      </c>
      <c r="Y63" s="5" t="str">
        <f>IFERROR(__xludf.DUMMYFUNCTION("""COMPUTED_VALUE"""),"Nature")</f>
        <v>Nature</v>
      </c>
      <c r="Z63" s="7" t="str">
        <f>IFERROR(__xludf.DUMMYFUNCTION("""COMPUTED_VALUE"""),"10.1038/s41586-023-06062-z")</f>
        <v>10.1038/s41586-023-06062-z</v>
      </c>
      <c r="AA63" s="7" t="str">
        <f>IFERROR(__xludf.DUMMYFUNCTION("""COMPUTED_VALUE"""),"https://www.nature.com/articles/s41586-023-06062-z")</f>
        <v>https://www.nature.com/articles/s41586-023-06062-z</v>
      </c>
      <c r="AB63" s="5"/>
    </row>
    <row r="64">
      <c r="A64" s="5">
        <f>IFERROR(__xludf.DUMMYFUNCTION("""COMPUTED_VALUE"""),100062.0)</f>
        <v>100062</v>
      </c>
      <c r="B64" s="5" t="str">
        <f>IFERROR(__xludf.DUMMYFUNCTION("""COMPUTED_VALUE"""),"BANI-C-1")</f>
        <v>BANI-C-1</v>
      </c>
      <c r="C64" s="5">
        <f>IFERROR(__xludf.DUMMYFUNCTION("""COMPUTED_VALUE"""),22013.0)</f>
        <v>22013</v>
      </c>
      <c r="D64" s="5"/>
      <c r="E64" s="5"/>
      <c r="F64" s="5">
        <f>IFERROR(__xludf.DUMMYFUNCTION("""COMPUTED_VALUE"""),1.0)</f>
        <v>1</v>
      </c>
      <c r="G64" s="5"/>
      <c r="H64" s="5"/>
      <c r="I64" s="5"/>
      <c r="J64" s="5"/>
      <c r="K64" s="5">
        <f>IFERROR(__xludf.DUMMYFUNCTION("""COMPUTED_VALUE"""),43.043644)</f>
        <v>43.043644</v>
      </c>
      <c r="L64" s="5">
        <f>IFERROR(__xludf.DUMMYFUNCTION("""COMPUTED_VALUE"""),0.234303)</f>
        <v>0.234303</v>
      </c>
      <c r="M64" s="5">
        <f>IFERROR(__xludf.DUMMYFUNCTION("""COMPUTED_VALUE"""),487.0)</f>
        <v>487</v>
      </c>
      <c r="N64" s="5">
        <f>IFERROR(__xludf.DUMMYFUNCTION("""COMPUTED_VALUE"""),12.0)</f>
        <v>12</v>
      </c>
      <c r="O64" s="5"/>
      <c r="P64" s="5"/>
      <c r="Q64" s="5" t="str">
        <f>IFERROR(__xludf.DUMMYFUNCTION("""COMPUTED_VALUE"""),"yes")</f>
        <v>yes</v>
      </c>
      <c r="R64" s="5" t="str">
        <f>IFERROR(__xludf.DUMMYFUNCTION("""COMPUTED_VALUE"""),"HiFi")</f>
        <v>HiFi</v>
      </c>
      <c r="S64" s="5" t="str">
        <f>IFERROR(__xludf.DUMMYFUNCTION("""COMPUTED_VALUE"""),"hifiasm_v0.16.1-r375")</f>
        <v>hifiasm_v0.16.1-r375</v>
      </c>
      <c r="T64" s="6" t="str">
        <f>IFERROR(__xludf.DUMMYFUNCTION("""COMPUTED_VALUE"""),"Pool")</f>
        <v>Pool</v>
      </c>
      <c r="U64" s="6">
        <f>IFERROR(__xludf.DUMMYFUNCTION("""COMPUTED_VALUE"""),2023.0)</f>
        <v>2023</v>
      </c>
      <c r="V64" s="6" t="str">
        <f>IFERROR(__xludf.DUMMYFUNCTION("""COMPUTED_VALUE"""),"yes")</f>
        <v>yes</v>
      </c>
      <c r="W64" s="6" t="str">
        <f>IFERROR(__xludf.DUMMYFUNCTION("""COMPUTED_VALUE"""),"Wlodzimierz")</f>
        <v>Wlodzimierz</v>
      </c>
      <c r="X64" s="5">
        <f>IFERROR(__xludf.DUMMYFUNCTION("""COMPUTED_VALUE"""),2023.0)</f>
        <v>2023</v>
      </c>
      <c r="Y64" s="5" t="str">
        <f>IFERROR(__xludf.DUMMYFUNCTION("""COMPUTED_VALUE"""),"Nature")</f>
        <v>Nature</v>
      </c>
      <c r="Z64" s="7" t="str">
        <f>IFERROR(__xludf.DUMMYFUNCTION("""COMPUTED_VALUE"""),"10.1038/s41586-023-06062-z")</f>
        <v>10.1038/s41586-023-06062-z</v>
      </c>
      <c r="AA64" s="7" t="str">
        <f>IFERROR(__xludf.DUMMYFUNCTION("""COMPUTED_VALUE"""),"https://www.nature.com/articles/s41586-023-06062-z")</f>
        <v>https://www.nature.com/articles/s41586-023-06062-z</v>
      </c>
      <c r="AB64" s="5"/>
    </row>
    <row r="65">
      <c r="A65" s="5">
        <f>IFERROR(__xludf.DUMMYFUNCTION("""COMPUTED_VALUE"""),100063.0)</f>
        <v>100063</v>
      </c>
      <c r="B65" s="5" t="str">
        <f>IFERROR(__xludf.DUMMYFUNCTION("""COMPUTED_VALUE"""),"BANI-C-12")</f>
        <v>BANI-C-12</v>
      </c>
      <c r="C65" s="5">
        <f>IFERROR(__xludf.DUMMYFUNCTION("""COMPUTED_VALUE"""),22014.0)</f>
        <v>22014</v>
      </c>
      <c r="D65" s="5"/>
      <c r="E65" s="5"/>
      <c r="F65" s="5">
        <f>IFERROR(__xludf.DUMMYFUNCTION("""COMPUTED_VALUE"""),1.0)</f>
        <v>1</v>
      </c>
      <c r="G65" s="5"/>
      <c r="H65" s="5"/>
      <c r="I65" s="5"/>
      <c r="J65" s="5"/>
      <c r="K65" s="5">
        <f>IFERROR(__xludf.DUMMYFUNCTION("""COMPUTED_VALUE"""),43.043644)</f>
        <v>43.043644</v>
      </c>
      <c r="L65" s="5">
        <f>IFERROR(__xludf.DUMMYFUNCTION("""COMPUTED_VALUE"""),0.234303)</f>
        <v>0.234303</v>
      </c>
      <c r="M65" s="5">
        <f>IFERROR(__xludf.DUMMYFUNCTION("""COMPUTED_VALUE"""),487.0)</f>
        <v>487</v>
      </c>
      <c r="N65" s="5">
        <f>IFERROR(__xludf.DUMMYFUNCTION("""COMPUTED_VALUE"""),3.0)</f>
        <v>3</v>
      </c>
      <c r="O65" s="5"/>
      <c r="P65" s="5"/>
      <c r="Q65" s="5" t="str">
        <f>IFERROR(__xludf.DUMMYFUNCTION("""COMPUTED_VALUE"""),"yes")</f>
        <v>yes</v>
      </c>
      <c r="R65" s="5" t="str">
        <f>IFERROR(__xludf.DUMMYFUNCTION("""COMPUTED_VALUE"""),"HiFi")</f>
        <v>HiFi</v>
      </c>
      <c r="S65" s="5" t="str">
        <f>IFERROR(__xludf.DUMMYFUNCTION("""COMPUTED_VALUE"""),"hifiasm_v0.16.1-r375")</f>
        <v>hifiasm_v0.16.1-r375</v>
      </c>
      <c r="T65" s="6" t="str">
        <f>IFERROR(__xludf.DUMMYFUNCTION("""COMPUTED_VALUE"""),"Pool")</f>
        <v>Pool</v>
      </c>
      <c r="U65" s="6">
        <f>IFERROR(__xludf.DUMMYFUNCTION("""COMPUTED_VALUE"""),2023.0)</f>
        <v>2023</v>
      </c>
      <c r="V65" s="6" t="str">
        <f>IFERROR(__xludf.DUMMYFUNCTION("""COMPUTED_VALUE"""),"yes")</f>
        <v>yes</v>
      </c>
      <c r="W65" s="6" t="str">
        <f>IFERROR(__xludf.DUMMYFUNCTION("""COMPUTED_VALUE"""),"Wlodzimierz")</f>
        <v>Wlodzimierz</v>
      </c>
      <c r="X65" s="5">
        <f>IFERROR(__xludf.DUMMYFUNCTION("""COMPUTED_VALUE"""),2023.0)</f>
        <v>2023</v>
      </c>
      <c r="Y65" s="5" t="str">
        <f>IFERROR(__xludf.DUMMYFUNCTION("""COMPUTED_VALUE"""),"Nature")</f>
        <v>Nature</v>
      </c>
      <c r="Z65" s="7" t="str">
        <f>IFERROR(__xludf.DUMMYFUNCTION("""COMPUTED_VALUE"""),"10.1038/s41586-023-06062-z")</f>
        <v>10.1038/s41586-023-06062-z</v>
      </c>
      <c r="AA65" s="7" t="str">
        <f>IFERROR(__xludf.DUMMYFUNCTION("""COMPUTED_VALUE"""),"https://www.nature.com/articles/s41586-023-06062-z")</f>
        <v>https://www.nature.com/articles/s41586-023-06062-z</v>
      </c>
      <c r="AB65" s="5"/>
    </row>
    <row r="66">
      <c r="A66" s="5">
        <f>IFERROR(__xludf.DUMMYFUNCTION("""COMPUTED_VALUE"""),100064.0)</f>
        <v>100064</v>
      </c>
      <c r="B66" s="5" t="str">
        <f>IFERROR(__xludf.DUMMYFUNCTION("""COMPUTED_VALUE"""),"BARA-C-3")</f>
        <v>BARA-C-3</v>
      </c>
      <c r="C66" s="5">
        <f>IFERROR(__xludf.DUMMYFUNCTION("""COMPUTED_VALUE"""),22015.0)</f>
        <v>22015</v>
      </c>
      <c r="D66" s="5"/>
      <c r="E66" s="5"/>
      <c r="F66" s="5">
        <f>IFERROR(__xludf.DUMMYFUNCTION("""COMPUTED_VALUE"""),1.0)</f>
        <v>1</v>
      </c>
      <c r="G66" s="5"/>
      <c r="H66" s="5"/>
      <c r="I66" s="5"/>
      <c r="J66" s="5"/>
      <c r="K66" s="5">
        <f>IFERROR(__xludf.DUMMYFUNCTION("""COMPUTED_VALUE"""),44.270842)</f>
        <v>44.270842</v>
      </c>
      <c r="L66" s="5">
        <f>IFERROR(__xludf.DUMMYFUNCTION("""COMPUTED_VALUE"""),2.427551)</f>
        <v>2.427551</v>
      </c>
      <c r="M66" s="5">
        <f>IFERROR(__xludf.DUMMYFUNCTION("""COMPUTED_VALUE"""),756.0)</f>
        <v>756</v>
      </c>
      <c r="N66" s="5">
        <f>IFERROR(__xludf.DUMMYFUNCTION("""COMPUTED_VALUE"""),8.0)</f>
        <v>8</v>
      </c>
      <c r="O66" s="5"/>
      <c r="P66" s="5"/>
      <c r="Q66" s="5" t="str">
        <f>IFERROR(__xludf.DUMMYFUNCTION("""COMPUTED_VALUE"""),"yes")</f>
        <v>yes</v>
      </c>
      <c r="R66" s="5" t="str">
        <f>IFERROR(__xludf.DUMMYFUNCTION("""COMPUTED_VALUE"""),"HiFi")</f>
        <v>HiFi</v>
      </c>
      <c r="S66" s="5" t="str">
        <f>IFERROR(__xludf.DUMMYFUNCTION("""COMPUTED_VALUE"""),"hifiasm_v0.16.1-r375")</f>
        <v>hifiasm_v0.16.1-r375</v>
      </c>
      <c r="T66" s="6" t="str">
        <f>IFERROR(__xludf.DUMMYFUNCTION("""COMPUTED_VALUE"""),"Pool")</f>
        <v>Pool</v>
      </c>
      <c r="U66" s="6">
        <f>IFERROR(__xludf.DUMMYFUNCTION("""COMPUTED_VALUE"""),2023.0)</f>
        <v>2023</v>
      </c>
      <c r="V66" s="6" t="str">
        <f>IFERROR(__xludf.DUMMYFUNCTION("""COMPUTED_VALUE"""),"yes")</f>
        <v>yes</v>
      </c>
      <c r="W66" s="6" t="str">
        <f>IFERROR(__xludf.DUMMYFUNCTION("""COMPUTED_VALUE"""),"Wlodzimierz")</f>
        <v>Wlodzimierz</v>
      </c>
      <c r="X66" s="5">
        <f>IFERROR(__xludf.DUMMYFUNCTION("""COMPUTED_VALUE"""),2023.0)</f>
        <v>2023</v>
      </c>
      <c r="Y66" s="5" t="str">
        <f>IFERROR(__xludf.DUMMYFUNCTION("""COMPUTED_VALUE"""),"Nature")</f>
        <v>Nature</v>
      </c>
      <c r="Z66" s="7" t="str">
        <f>IFERROR(__xludf.DUMMYFUNCTION("""COMPUTED_VALUE"""),"10.1038/s41586-023-06062-z")</f>
        <v>10.1038/s41586-023-06062-z</v>
      </c>
      <c r="AA66" s="7" t="str">
        <f>IFERROR(__xludf.DUMMYFUNCTION("""COMPUTED_VALUE"""),"https://www.nature.com/articles/s41586-023-06062-z")</f>
        <v>https://www.nature.com/articles/s41586-023-06062-z</v>
      </c>
      <c r="AB66" s="5"/>
    </row>
    <row r="67">
      <c r="A67" s="5">
        <f>IFERROR(__xludf.DUMMYFUNCTION("""COMPUTED_VALUE"""),100065.0)</f>
        <v>100065</v>
      </c>
      <c r="B67" s="5" t="str">
        <f>IFERROR(__xludf.DUMMYFUNCTION("""COMPUTED_VALUE"""),"BARA-C-5")</f>
        <v>BARA-C-5</v>
      </c>
      <c r="C67" s="5">
        <f>IFERROR(__xludf.DUMMYFUNCTION("""COMPUTED_VALUE"""),22016.0)</f>
        <v>22016</v>
      </c>
      <c r="D67" s="5"/>
      <c r="E67" s="5"/>
      <c r="F67" s="5">
        <f>IFERROR(__xludf.DUMMYFUNCTION("""COMPUTED_VALUE"""),1.0)</f>
        <v>1</v>
      </c>
      <c r="G67" s="5"/>
      <c r="H67" s="5"/>
      <c r="I67" s="5"/>
      <c r="J67" s="5"/>
      <c r="K67" s="5">
        <f>IFERROR(__xludf.DUMMYFUNCTION("""COMPUTED_VALUE"""),44.270842)</f>
        <v>44.270842</v>
      </c>
      <c r="L67" s="5">
        <f>IFERROR(__xludf.DUMMYFUNCTION("""COMPUTED_VALUE"""),2.427551)</f>
        <v>2.427551</v>
      </c>
      <c r="M67" s="5">
        <f>IFERROR(__xludf.DUMMYFUNCTION("""COMPUTED_VALUE"""),756.0)</f>
        <v>756</v>
      </c>
      <c r="N67" s="5">
        <f>IFERROR(__xludf.DUMMYFUNCTION("""COMPUTED_VALUE"""),2.0)</f>
        <v>2</v>
      </c>
      <c r="O67" s="5"/>
      <c r="P67" s="5"/>
      <c r="Q67" s="5" t="str">
        <f>IFERROR(__xludf.DUMMYFUNCTION("""COMPUTED_VALUE"""),"yes")</f>
        <v>yes</v>
      </c>
      <c r="R67" s="5" t="str">
        <f>IFERROR(__xludf.DUMMYFUNCTION("""COMPUTED_VALUE"""),"HiFi")</f>
        <v>HiFi</v>
      </c>
      <c r="S67" s="5" t="str">
        <f>IFERROR(__xludf.DUMMYFUNCTION("""COMPUTED_VALUE"""),"hifiasm_v0.16.1-r375")</f>
        <v>hifiasm_v0.16.1-r375</v>
      </c>
      <c r="T67" s="6" t="str">
        <f>IFERROR(__xludf.DUMMYFUNCTION("""COMPUTED_VALUE"""),"Pool")</f>
        <v>Pool</v>
      </c>
      <c r="U67" s="6">
        <f>IFERROR(__xludf.DUMMYFUNCTION("""COMPUTED_VALUE"""),2023.0)</f>
        <v>2023</v>
      </c>
      <c r="V67" s="6" t="str">
        <f>IFERROR(__xludf.DUMMYFUNCTION("""COMPUTED_VALUE"""),"yes")</f>
        <v>yes</v>
      </c>
      <c r="W67" s="6" t="str">
        <f>IFERROR(__xludf.DUMMYFUNCTION("""COMPUTED_VALUE"""),"Wlodzimierz")</f>
        <v>Wlodzimierz</v>
      </c>
      <c r="X67" s="5">
        <f>IFERROR(__xludf.DUMMYFUNCTION("""COMPUTED_VALUE"""),2023.0)</f>
        <v>2023</v>
      </c>
      <c r="Y67" s="5" t="str">
        <f>IFERROR(__xludf.DUMMYFUNCTION("""COMPUTED_VALUE"""),"Nature")</f>
        <v>Nature</v>
      </c>
      <c r="Z67" s="7" t="str">
        <f>IFERROR(__xludf.DUMMYFUNCTION("""COMPUTED_VALUE"""),"10.1038/s41586-023-06062-z")</f>
        <v>10.1038/s41586-023-06062-z</v>
      </c>
      <c r="AA67" s="7" t="str">
        <f>IFERROR(__xludf.DUMMYFUNCTION("""COMPUTED_VALUE"""),"https://www.nature.com/articles/s41586-023-06062-z")</f>
        <v>https://www.nature.com/articles/s41586-023-06062-z</v>
      </c>
      <c r="AB67" s="5"/>
    </row>
    <row r="68">
      <c r="A68" s="5">
        <f>IFERROR(__xludf.DUMMYFUNCTION("""COMPUTED_VALUE"""),100066.0)</f>
        <v>100066</v>
      </c>
      <c r="B68" s="5" t="str">
        <f>IFERROR(__xludf.DUMMYFUNCTION("""COMPUTED_VALUE"""),"BARC-A-12")</f>
        <v>BARC-A-12</v>
      </c>
      <c r="C68" s="5">
        <f>IFERROR(__xludf.DUMMYFUNCTION("""COMPUTED_VALUE"""),22017.0)</f>
        <v>22017</v>
      </c>
      <c r="D68" s="5"/>
      <c r="E68" s="5"/>
      <c r="F68" s="5">
        <f>IFERROR(__xludf.DUMMYFUNCTION("""COMPUTED_VALUE"""),1.0)</f>
        <v>1</v>
      </c>
      <c r="G68" s="5"/>
      <c r="H68" s="5"/>
      <c r="I68" s="5"/>
      <c r="J68" s="5"/>
      <c r="K68" s="5">
        <f>IFERROR(__xludf.DUMMYFUNCTION("""COMPUTED_VALUE"""),43.362044)</f>
        <v>43.362044</v>
      </c>
      <c r="L68" s="5">
        <f>IFERROR(__xludf.DUMMYFUNCTION("""COMPUTED_VALUE"""),0.387723)</f>
        <v>0.387723</v>
      </c>
      <c r="M68" s="5">
        <f>IFERROR(__xludf.DUMMYFUNCTION("""COMPUTED_VALUE"""),218.0)</f>
        <v>218</v>
      </c>
      <c r="N68" s="5">
        <f>IFERROR(__xludf.DUMMYFUNCTION("""COMPUTED_VALUE"""),17.0)</f>
        <v>17</v>
      </c>
      <c r="O68" s="5"/>
      <c r="P68" s="5"/>
      <c r="Q68" s="5" t="str">
        <f>IFERROR(__xludf.DUMMYFUNCTION("""COMPUTED_VALUE"""),"no")</f>
        <v>no</v>
      </c>
      <c r="R68" s="5" t="str">
        <f>IFERROR(__xludf.DUMMYFUNCTION("""COMPUTED_VALUE"""),"HiFi")</f>
        <v>HiFi</v>
      </c>
      <c r="S68" s="5" t="str">
        <f>IFERROR(__xludf.DUMMYFUNCTION("""COMPUTED_VALUE"""),"hifiasm_v0.16.1-r375")</f>
        <v>hifiasm_v0.16.1-r375</v>
      </c>
      <c r="T68" s="6" t="str">
        <f>IFERROR(__xludf.DUMMYFUNCTION("""COMPUTED_VALUE"""),"Pool")</f>
        <v>Pool</v>
      </c>
      <c r="U68" s="6">
        <f>IFERROR(__xludf.DUMMYFUNCTION("""COMPUTED_VALUE"""),2023.0)</f>
        <v>2023</v>
      </c>
      <c r="V68" s="6" t="str">
        <f>IFERROR(__xludf.DUMMYFUNCTION("""COMPUTED_VALUE"""),"yes")</f>
        <v>yes</v>
      </c>
      <c r="W68" s="6" t="str">
        <f>IFERROR(__xludf.DUMMYFUNCTION("""COMPUTED_VALUE"""),"Wlodzimierz")</f>
        <v>Wlodzimierz</v>
      </c>
      <c r="X68" s="5">
        <f>IFERROR(__xludf.DUMMYFUNCTION("""COMPUTED_VALUE"""),2023.0)</f>
        <v>2023</v>
      </c>
      <c r="Y68" s="5" t="str">
        <f>IFERROR(__xludf.DUMMYFUNCTION("""COMPUTED_VALUE"""),"Nature")</f>
        <v>Nature</v>
      </c>
      <c r="Z68" s="7" t="str">
        <f>IFERROR(__xludf.DUMMYFUNCTION("""COMPUTED_VALUE"""),"10.1038/s41586-023-06062-z")</f>
        <v>10.1038/s41586-023-06062-z</v>
      </c>
      <c r="AA68" s="7" t="str">
        <f>IFERROR(__xludf.DUMMYFUNCTION("""COMPUTED_VALUE"""),"https://www.nature.com/articles/s41586-023-06062-z")</f>
        <v>https://www.nature.com/articles/s41586-023-06062-z</v>
      </c>
      <c r="AB68" s="5"/>
    </row>
    <row r="69">
      <c r="A69" s="5">
        <f>IFERROR(__xludf.DUMMYFUNCTION("""COMPUTED_VALUE"""),100067.0)</f>
        <v>100067</v>
      </c>
      <c r="B69" s="5" t="str">
        <f>IFERROR(__xludf.DUMMYFUNCTION("""COMPUTED_VALUE"""),"BARC-A-17")</f>
        <v>BARC-A-17</v>
      </c>
      <c r="C69" s="5">
        <f>IFERROR(__xludf.DUMMYFUNCTION("""COMPUTED_VALUE"""),22018.0)</f>
        <v>22018</v>
      </c>
      <c r="D69" s="5"/>
      <c r="E69" s="5"/>
      <c r="F69" s="5">
        <f>IFERROR(__xludf.DUMMYFUNCTION("""COMPUTED_VALUE"""),1.0)</f>
        <v>1</v>
      </c>
      <c r="G69" s="5"/>
      <c r="H69" s="5"/>
      <c r="I69" s="5"/>
      <c r="J69" s="5"/>
      <c r="K69" s="5">
        <f>IFERROR(__xludf.DUMMYFUNCTION("""COMPUTED_VALUE"""),43.362044)</f>
        <v>43.362044</v>
      </c>
      <c r="L69" s="5">
        <f>IFERROR(__xludf.DUMMYFUNCTION("""COMPUTED_VALUE"""),0.387723)</f>
        <v>0.387723</v>
      </c>
      <c r="M69" s="5">
        <f>IFERROR(__xludf.DUMMYFUNCTION("""COMPUTED_VALUE"""),218.0)</f>
        <v>218</v>
      </c>
      <c r="N69" s="5">
        <f>IFERROR(__xludf.DUMMYFUNCTION("""COMPUTED_VALUE"""),9.0)</f>
        <v>9</v>
      </c>
      <c r="O69" s="5"/>
      <c r="P69" s="5"/>
      <c r="Q69" s="5" t="str">
        <f>IFERROR(__xludf.DUMMYFUNCTION("""COMPUTED_VALUE"""),"yes")</f>
        <v>yes</v>
      </c>
      <c r="R69" s="5" t="str">
        <f>IFERROR(__xludf.DUMMYFUNCTION("""COMPUTED_VALUE"""),"HiFi")</f>
        <v>HiFi</v>
      </c>
      <c r="S69" s="5" t="str">
        <f>IFERROR(__xludf.DUMMYFUNCTION("""COMPUTED_VALUE"""),"hifiasm_v0.16.1-r375")</f>
        <v>hifiasm_v0.16.1-r375</v>
      </c>
      <c r="T69" s="6" t="str">
        <f>IFERROR(__xludf.DUMMYFUNCTION("""COMPUTED_VALUE"""),"Pool")</f>
        <v>Pool</v>
      </c>
      <c r="U69" s="6">
        <f>IFERROR(__xludf.DUMMYFUNCTION("""COMPUTED_VALUE"""),2023.0)</f>
        <v>2023</v>
      </c>
      <c r="V69" s="6" t="str">
        <f>IFERROR(__xludf.DUMMYFUNCTION("""COMPUTED_VALUE"""),"yes")</f>
        <v>yes</v>
      </c>
      <c r="W69" s="6" t="str">
        <f>IFERROR(__xludf.DUMMYFUNCTION("""COMPUTED_VALUE"""),"Wlodzimierz")</f>
        <v>Wlodzimierz</v>
      </c>
      <c r="X69" s="5">
        <f>IFERROR(__xludf.DUMMYFUNCTION("""COMPUTED_VALUE"""),2023.0)</f>
        <v>2023</v>
      </c>
      <c r="Y69" s="5" t="str">
        <f>IFERROR(__xludf.DUMMYFUNCTION("""COMPUTED_VALUE"""),"Nature")</f>
        <v>Nature</v>
      </c>
      <c r="Z69" s="7" t="str">
        <f>IFERROR(__xludf.DUMMYFUNCTION("""COMPUTED_VALUE"""),"10.1038/s41586-023-06062-z")</f>
        <v>10.1038/s41586-023-06062-z</v>
      </c>
      <c r="AA69" s="7" t="str">
        <f>IFERROR(__xludf.DUMMYFUNCTION("""COMPUTED_VALUE"""),"https://www.nature.com/articles/s41586-023-06062-z")</f>
        <v>https://www.nature.com/articles/s41586-023-06062-z</v>
      </c>
      <c r="AB69" s="5"/>
    </row>
    <row r="70">
      <c r="A70" s="5">
        <f>IFERROR(__xludf.DUMMYFUNCTION("""COMPUTED_VALUE"""),100068.0)</f>
        <v>100068</v>
      </c>
      <c r="B70" s="5" t="str">
        <f>IFERROR(__xludf.DUMMYFUNCTION("""COMPUTED_VALUE"""),"BELC-C-10")</f>
        <v>BELC-C-10</v>
      </c>
      <c r="C70" s="5">
        <f>IFERROR(__xludf.DUMMYFUNCTION("""COMPUTED_VALUE"""),22019.0)</f>
        <v>22019</v>
      </c>
      <c r="D70" s="5"/>
      <c r="E70" s="5"/>
      <c r="F70" s="5">
        <f>IFERROR(__xludf.DUMMYFUNCTION("""COMPUTED_VALUE"""),1.0)</f>
        <v>1</v>
      </c>
      <c r="G70" s="5"/>
      <c r="H70" s="5"/>
      <c r="I70" s="5"/>
      <c r="J70" s="5"/>
      <c r="K70" s="5">
        <f>IFERROR(__xludf.DUMMYFUNCTION("""COMPUTED_VALUE"""),44.389212)</f>
        <v>44.389212</v>
      </c>
      <c r="L70" s="5">
        <f>IFERROR(__xludf.DUMMYFUNCTION("""COMPUTED_VALUE"""),2.336636)</f>
        <v>2.336636</v>
      </c>
      <c r="M70" s="5">
        <f>IFERROR(__xludf.DUMMYFUNCTION("""COMPUTED_VALUE"""),453.0)</f>
        <v>453</v>
      </c>
      <c r="N70" s="5">
        <f>IFERROR(__xludf.DUMMYFUNCTION("""COMPUTED_VALUE"""),5.0)</f>
        <v>5</v>
      </c>
      <c r="O70" s="5"/>
      <c r="P70" s="5"/>
      <c r="Q70" s="5" t="str">
        <f>IFERROR(__xludf.DUMMYFUNCTION("""COMPUTED_VALUE"""),"yes")</f>
        <v>yes</v>
      </c>
      <c r="R70" s="5" t="str">
        <f>IFERROR(__xludf.DUMMYFUNCTION("""COMPUTED_VALUE"""),"HiFi")</f>
        <v>HiFi</v>
      </c>
      <c r="S70" s="5" t="str">
        <f>IFERROR(__xludf.DUMMYFUNCTION("""COMPUTED_VALUE"""),"hifiasm_v0.16.1-r375")</f>
        <v>hifiasm_v0.16.1-r375</v>
      </c>
      <c r="T70" s="6" t="str">
        <f>IFERROR(__xludf.DUMMYFUNCTION("""COMPUTED_VALUE"""),"Pool")</f>
        <v>Pool</v>
      </c>
      <c r="U70" s="6">
        <f>IFERROR(__xludf.DUMMYFUNCTION("""COMPUTED_VALUE"""),2023.0)</f>
        <v>2023</v>
      </c>
      <c r="V70" s="6" t="str">
        <f>IFERROR(__xludf.DUMMYFUNCTION("""COMPUTED_VALUE"""),"yes")</f>
        <v>yes</v>
      </c>
      <c r="W70" s="6" t="str">
        <f>IFERROR(__xludf.DUMMYFUNCTION("""COMPUTED_VALUE"""),"Wlodzimierz")</f>
        <v>Wlodzimierz</v>
      </c>
      <c r="X70" s="5">
        <f>IFERROR(__xludf.DUMMYFUNCTION("""COMPUTED_VALUE"""),2023.0)</f>
        <v>2023</v>
      </c>
      <c r="Y70" s="5" t="str">
        <f>IFERROR(__xludf.DUMMYFUNCTION("""COMPUTED_VALUE"""),"Nature")</f>
        <v>Nature</v>
      </c>
      <c r="Z70" s="7" t="str">
        <f>IFERROR(__xludf.DUMMYFUNCTION("""COMPUTED_VALUE"""),"10.1038/s41586-023-06062-z")</f>
        <v>10.1038/s41586-023-06062-z</v>
      </c>
      <c r="AA70" s="7" t="str">
        <f>IFERROR(__xludf.DUMMYFUNCTION("""COMPUTED_VALUE"""),"https://www.nature.com/articles/s41586-023-06062-z")</f>
        <v>https://www.nature.com/articles/s41586-023-06062-z</v>
      </c>
      <c r="AB70" s="5"/>
    </row>
    <row r="71">
      <c r="A71" s="5">
        <f>IFERROR(__xludf.DUMMYFUNCTION("""COMPUTED_VALUE"""),100069.0)</f>
        <v>100069</v>
      </c>
      <c r="B71" s="5" t="str">
        <f>IFERROR(__xludf.DUMMYFUNCTION("""COMPUTED_VALUE"""),"BELC-C-12")</f>
        <v>BELC-C-12</v>
      </c>
      <c r="C71" s="5">
        <f>IFERROR(__xludf.DUMMYFUNCTION("""COMPUTED_VALUE"""),22020.0)</f>
        <v>22020</v>
      </c>
      <c r="D71" s="5"/>
      <c r="E71" s="5"/>
      <c r="F71" s="5">
        <f>IFERROR(__xludf.DUMMYFUNCTION("""COMPUTED_VALUE"""),1.0)</f>
        <v>1</v>
      </c>
      <c r="G71" s="5"/>
      <c r="H71" s="5"/>
      <c r="I71" s="5"/>
      <c r="J71" s="5"/>
      <c r="K71" s="5">
        <f>IFERROR(__xludf.DUMMYFUNCTION("""COMPUTED_VALUE"""),44.389212)</f>
        <v>44.389212</v>
      </c>
      <c r="L71" s="5">
        <f>IFERROR(__xludf.DUMMYFUNCTION("""COMPUTED_VALUE"""),2.336636)</f>
        <v>2.336636</v>
      </c>
      <c r="M71" s="5">
        <f>IFERROR(__xludf.DUMMYFUNCTION("""COMPUTED_VALUE"""),453.0)</f>
        <v>453</v>
      </c>
      <c r="N71" s="5">
        <f>IFERROR(__xludf.DUMMYFUNCTION("""COMPUTED_VALUE"""),7.0)</f>
        <v>7</v>
      </c>
      <c r="O71" s="5"/>
      <c r="P71" s="5"/>
      <c r="Q71" s="5" t="str">
        <f>IFERROR(__xludf.DUMMYFUNCTION("""COMPUTED_VALUE"""),"yes")</f>
        <v>yes</v>
      </c>
      <c r="R71" s="5" t="str">
        <f>IFERROR(__xludf.DUMMYFUNCTION("""COMPUTED_VALUE"""),"HiFi")</f>
        <v>HiFi</v>
      </c>
      <c r="S71" s="5" t="str">
        <f>IFERROR(__xludf.DUMMYFUNCTION("""COMPUTED_VALUE"""),"hifiasm_v0.16.1-r375")</f>
        <v>hifiasm_v0.16.1-r375</v>
      </c>
      <c r="T71" s="6" t="str">
        <f>IFERROR(__xludf.DUMMYFUNCTION("""COMPUTED_VALUE"""),"Pool")</f>
        <v>Pool</v>
      </c>
      <c r="U71" s="6">
        <f>IFERROR(__xludf.DUMMYFUNCTION("""COMPUTED_VALUE"""),2023.0)</f>
        <v>2023</v>
      </c>
      <c r="V71" s="6" t="str">
        <f>IFERROR(__xludf.DUMMYFUNCTION("""COMPUTED_VALUE"""),"yes")</f>
        <v>yes</v>
      </c>
      <c r="W71" s="6" t="str">
        <f>IFERROR(__xludf.DUMMYFUNCTION("""COMPUTED_VALUE"""),"Wlodzimierz")</f>
        <v>Wlodzimierz</v>
      </c>
      <c r="X71" s="5">
        <f>IFERROR(__xludf.DUMMYFUNCTION("""COMPUTED_VALUE"""),2023.0)</f>
        <v>2023</v>
      </c>
      <c r="Y71" s="5" t="str">
        <f>IFERROR(__xludf.DUMMYFUNCTION("""COMPUTED_VALUE"""),"Nature")</f>
        <v>Nature</v>
      </c>
      <c r="Z71" s="7" t="str">
        <f>IFERROR(__xludf.DUMMYFUNCTION("""COMPUTED_VALUE"""),"10.1038/s41586-023-06062-z")</f>
        <v>10.1038/s41586-023-06062-z</v>
      </c>
      <c r="AA71" s="7" t="str">
        <f>IFERROR(__xludf.DUMMYFUNCTION("""COMPUTED_VALUE"""),"https://www.nature.com/articles/s41586-023-06062-z")</f>
        <v>https://www.nature.com/articles/s41586-023-06062-z</v>
      </c>
      <c r="AB71" s="5"/>
    </row>
    <row r="72">
      <c r="A72" s="5">
        <f>IFERROR(__xludf.DUMMYFUNCTION("""COMPUTED_VALUE"""),100070.0)</f>
        <v>100070</v>
      </c>
      <c r="B72" s="5" t="str">
        <f>IFERROR(__xludf.DUMMYFUNCTION("""COMPUTED_VALUE"""),"BELL-A-1")</f>
        <v>BELL-A-1</v>
      </c>
      <c r="C72" s="5">
        <f>IFERROR(__xludf.DUMMYFUNCTION("""COMPUTED_VALUE"""),22021.0)</f>
        <v>22021</v>
      </c>
      <c r="D72" s="5"/>
      <c r="E72" s="5"/>
      <c r="F72" s="5">
        <f>IFERROR(__xludf.DUMMYFUNCTION("""COMPUTED_VALUE"""),1.0)</f>
        <v>1</v>
      </c>
      <c r="G72" s="5"/>
      <c r="H72" s="5"/>
      <c r="I72" s="5"/>
      <c r="J72" s="5"/>
      <c r="K72" s="5">
        <f>IFERROR(__xludf.DUMMYFUNCTION("""COMPUTED_VALUE"""),43.790307)</f>
        <v>43.790307</v>
      </c>
      <c r="L72" s="5">
        <f>IFERROR(__xludf.DUMMYFUNCTION("""COMPUTED_VALUE"""),1.106456)</f>
        <v>1.106456</v>
      </c>
      <c r="M72" s="5">
        <f>IFERROR(__xludf.DUMMYFUNCTION("""COMPUTED_VALUE"""),229.0)</f>
        <v>229</v>
      </c>
      <c r="N72" s="5">
        <f>IFERROR(__xludf.DUMMYFUNCTION("""COMPUTED_VALUE"""),13.0)</f>
        <v>13</v>
      </c>
      <c r="O72" s="5"/>
      <c r="P72" s="5"/>
      <c r="Q72" s="5" t="str">
        <f>IFERROR(__xludf.DUMMYFUNCTION("""COMPUTED_VALUE"""),"yes")</f>
        <v>yes</v>
      </c>
      <c r="R72" s="5" t="str">
        <f>IFERROR(__xludf.DUMMYFUNCTION("""COMPUTED_VALUE"""),"HiFi")</f>
        <v>HiFi</v>
      </c>
      <c r="S72" s="5" t="str">
        <f>IFERROR(__xludf.DUMMYFUNCTION("""COMPUTED_VALUE"""),"hifiasm_v0.16.1-r375")</f>
        <v>hifiasm_v0.16.1-r375</v>
      </c>
      <c r="T72" s="6" t="str">
        <f>IFERROR(__xludf.DUMMYFUNCTION("""COMPUTED_VALUE"""),"Pool")</f>
        <v>Pool</v>
      </c>
      <c r="U72" s="6">
        <f>IFERROR(__xludf.DUMMYFUNCTION("""COMPUTED_VALUE"""),2024.0)</f>
        <v>2024</v>
      </c>
      <c r="V72" s="6" t="str">
        <f>IFERROR(__xludf.DUMMYFUNCTION("""COMPUTED_VALUE"""),"no")</f>
        <v>no</v>
      </c>
      <c r="W72" s="6" t="str">
        <f>IFERROR(__xludf.DUMMYFUNCTION("""COMPUTED_VALUE"""),"Duflos")</f>
        <v>Duflos</v>
      </c>
      <c r="X72" s="5"/>
      <c r="Y72" s="5" t="str">
        <f>IFERROR(__xludf.DUMMYFUNCTION("""COMPUTED_VALUE"""),"unpublished")</f>
        <v>unpublished</v>
      </c>
      <c r="Z72" s="5"/>
      <c r="AA72" s="5"/>
      <c r="AB72" s="5"/>
    </row>
    <row r="73">
      <c r="A73" s="5">
        <f>IFERROR(__xludf.DUMMYFUNCTION("""COMPUTED_VALUE"""),100071.0)</f>
        <v>100071</v>
      </c>
      <c r="B73" s="5" t="str">
        <f>IFERROR(__xludf.DUMMYFUNCTION("""COMPUTED_VALUE"""),"BELL-A-7")</f>
        <v>BELL-A-7</v>
      </c>
      <c r="C73" s="5">
        <f>IFERROR(__xludf.DUMMYFUNCTION("""COMPUTED_VALUE"""),22022.0)</f>
        <v>22022</v>
      </c>
      <c r="D73" s="5"/>
      <c r="E73" s="5"/>
      <c r="F73" s="5">
        <f>IFERROR(__xludf.DUMMYFUNCTION("""COMPUTED_VALUE"""),1.0)</f>
        <v>1</v>
      </c>
      <c r="G73" s="5"/>
      <c r="H73" s="5"/>
      <c r="I73" s="5"/>
      <c r="J73" s="5"/>
      <c r="K73" s="5">
        <f>IFERROR(__xludf.DUMMYFUNCTION("""COMPUTED_VALUE"""),43.790307)</f>
        <v>43.790307</v>
      </c>
      <c r="L73" s="5">
        <f>IFERROR(__xludf.DUMMYFUNCTION("""COMPUTED_VALUE"""),1.106456)</f>
        <v>1.106456</v>
      </c>
      <c r="M73" s="5">
        <f>IFERROR(__xludf.DUMMYFUNCTION("""COMPUTED_VALUE"""),229.0)</f>
        <v>229</v>
      </c>
      <c r="N73" s="5">
        <f>IFERROR(__xludf.DUMMYFUNCTION("""COMPUTED_VALUE"""),11.0)</f>
        <v>11</v>
      </c>
      <c r="O73" s="5"/>
      <c r="P73" s="5"/>
      <c r="Q73" s="5" t="str">
        <f>IFERROR(__xludf.DUMMYFUNCTION("""COMPUTED_VALUE"""),"yes")</f>
        <v>yes</v>
      </c>
      <c r="R73" s="5" t="str">
        <f>IFERROR(__xludf.DUMMYFUNCTION("""COMPUTED_VALUE"""),"HiFi")</f>
        <v>HiFi</v>
      </c>
      <c r="S73" s="5" t="str">
        <f>IFERROR(__xludf.DUMMYFUNCTION("""COMPUTED_VALUE"""),"hifiasm_v0.16.1-r375")</f>
        <v>hifiasm_v0.16.1-r375</v>
      </c>
      <c r="T73" s="6" t="str">
        <f>IFERROR(__xludf.DUMMYFUNCTION("""COMPUTED_VALUE"""),"Pool")</f>
        <v>Pool</v>
      </c>
      <c r="U73" s="6">
        <f>IFERROR(__xludf.DUMMYFUNCTION("""COMPUTED_VALUE"""),2024.0)</f>
        <v>2024</v>
      </c>
      <c r="V73" s="6" t="str">
        <f>IFERROR(__xludf.DUMMYFUNCTION("""COMPUTED_VALUE"""),"no")</f>
        <v>no</v>
      </c>
      <c r="W73" s="6" t="str">
        <f>IFERROR(__xludf.DUMMYFUNCTION("""COMPUTED_VALUE"""),"Duflos")</f>
        <v>Duflos</v>
      </c>
      <c r="X73" s="5"/>
      <c r="Y73" s="5" t="str">
        <f>IFERROR(__xludf.DUMMYFUNCTION("""COMPUTED_VALUE"""),"unpublished")</f>
        <v>unpublished</v>
      </c>
      <c r="Z73" s="5"/>
      <c r="AA73" s="5"/>
      <c r="AB73" s="5"/>
    </row>
    <row r="74">
      <c r="A74" s="5">
        <f>IFERROR(__xludf.DUMMYFUNCTION("""COMPUTED_VALUE"""),100072.0)</f>
        <v>100072</v>
      </c>
      <c r="B74" s="5" t="str">
        <f>IFERROR(__xludf.DUMMYFUNCTION("""COMPUTED_VALUE"""),"BOULO-A-1")</f>
        <v>BOULO-A-1</v>
      </c>
      <c r="C74" s="5">
        <f>IFERROR(__xludf.DUMMYFUNCTION("""COMPUTED_VALUE"""),22023.0)</f>
        <v>22023</v>
      </c>
      <c r="D74" s="5"/>
      <c r="E74" s="5"/>
      <c r="F74" s="5">
        <f>IFERROR(__xludf.DUMMYFUNCTION("""COMPUTED_VALUE"""),1.0)</f>
        <v>1</v>
      </c>
      <c r="G74" s="5"/>
      <c r="H74" s="5"/>
      <c r="I74" s="5"/>
      <c r="J74" s="5"/>
      <c r="K74" s="5">
        <f>IFERROR(__xludf.DUMMYFUNCTION("""COMPUTED_VALUE"""),43.28908)</f>
        <v>43.28908</v>
      </c>
      <c r="L74" s="5">
        <f>IFERROR(__xludf.DUMMYFUNCTION("""COMPUTED_VALUE"""),0.639795)</f>
        <v>0.639795</v>
      </c>
      <c r="M74" s="5">
        <f>IFERROR(__xludf.DUMMYFUNCTION("""COMPUTED_VALUE"""),339.0)</f>
        <v>339</v>
      </c>
      <c r="N74" s="5">
        <f>IFERROR(__xludf.DUMMYFUNCTION("""COMPUTED_VALUE"""),11.0)</f>
        <v>11</v>
      </c>
      <c r="O74" s="5"/>
      <c r="P74" s="5"/>
      <c r="Q74" s="5" t="str">
        <f>IFERROR(__xludf.DUMMYFUNCTION("""COMPUTED_VALUE"""),"no")</f>
        <v>no</v>
      </c>
      <c r="R74" s="5" t="str">
        <f>IFERROR(__xludf.DUMMYFUNCTION("""COMPUTED_VALUE"""),"HiFi")</f>
        <v>HiFi</v>
      </c>
      <c r="S74" s="5" t="str">
        <f>IFERROR(__xludf.DUMMYFUNCTION("""COMPUTED_VALUE"""),"hifiasm_v0.16.1-r375")</f>
        <v>hifiasm_v0.16.1-r375</v>
      </c>
      <c r="T74" s="6" t="str">
        <f>IFERROR(__xludf.DUMMYFUNCTION("""COMPUTED_VALUE"""),"Pool")</f>
        <v>Pool</v>
      </c>
      <c r="U74" s="6">
        <f>IFERROR(__xludf.DUMMYFUNCTION("""COMPUTED_VALUE"""),2024.0)</f>
        <v>2024</v>
      </c>
      <c r="V74" s="6" t="str">
        <f>IFERROR(__xludf.DUMMYFUNCTION("""COMPUTED_VALUE"""),"no")</f>
        <v>no</v>
      </c>
      <c r="W74" s="6" t="str">
        <f>IFERROR(__xludf.DUMMYFUNCTION("""COMPUTED_VALUE"""),"Duflos")</f>
        <v>Duflos</v>
      </c>
      <c r="X74" s="5"/>
      <c r="Y74" s="5" t="str">
        <f>IFERROR(__xludf.DUMMYFUNCTION("""COMPUTED_VALUE"""),"unpublished")</f>
        <v>unpublished</v>
      </c>
      <c r="Z74" s="5"/>
      <c r="AA74" s="5"/>
      <c r="AB74" s="5"/>
    </row>
    <row r="75">
      <c r="A75" s="5">
        <f>IFERROR(__xludf.DUMMYFUNCTION("""COMPUTED_VALUE"""),100073.0)</f>
        <v>100073</v>
      </c>
      <c r="B75" s="5" t="str">
        <f>IFERROR(__xludf.DUMMYFUNCTION("""COMPUTED_VALUE"""),"BOULO-A-16")</f>
        <v>BOULO-A-16</v>
      </c>
      <c r="C75" s="5">
        <f>IFERROR(__xludf.DUMMYFUNCTION("""COMPUTED_VALUE"""),22024.0)</f>
        <v>22024</v>
      </c>
      <c r="D75" s="5"/>
      <c r="E75" s="5"/>
      <c r="F75" s="5">
        <f>IFERROR(__xludf.DUMMYFUNCTION("""COMPUTED_VALUE"""),1.0)</f>
        <v>1</v>
      </c>
      <c r="G75" s="5"/>
      <c r="H75" s="5"/>
      <c r="I75" s="5"/>
      <c r="J75" s="5"/>
      <c r="K75" s="5">
        <f>IFERROR(__xludf.DUMMYFUNCTION("""COMPUTED_VALUE"""),43.28908)</f>
        <v>43.28908</v>
      </c>
      <c r="L75" s="5">
        <f>IFERROR(__xludf.DUMMYFUNCTION("""COMPUTED_VALUE"""),0.639795)</f>
        <v>0.639795</v>
      </c>
      <c r="M75" s="5">
        <f>IFERROR(__xludf.DUMMYFUNCTION("""COMPUTED_VALUE"""),339.0)</f>
        <v>339</v>
      </c>
      <c r="N75" s="5">
        <f>IFERROR(__xludf.DUMMYFUNCTION("""COMPUTED_VALUE"""),13.0)</f>
        <v>13</v>
      </c>
      <c r="O75" s="5"/>
      <c r="P75" s="5"/>
      <c r="Q75" s="5" t="str">
        <f>IFERROR(__xludf.DUMMYFUNCTION("""COMPUTED_VALUE"""),"yes")</f>
        <v>yes</v>
      </c>
      <c r="R75" s="5" t="str">
        <f>IFERROR(__xludf.DUMMYFUNCTION("""COMPUTED_VALUE"""),"HiFi")</f>
        <v>HiFi</v>
      </c>
      <c r="S75" s="5" t="str">
        <f>IFERROR(__xludf.DUMMYFUNCTION("""COMPUTED_VALUE"""),"hifiasm_v0.16.1-r375")</f>
        <v>hifiasm_v0.16.1-r375</v>
      </c>
      <c r="T75" s="6" t="str">
        <f>IFERROR(__xludf.DUMMYFUNCTION("""COMPUTED_VALUE"""),"Pool")</f>
        <v>Pool</v>
      </c>
      <c r="U75" s="6">
        <f>IFERROR(__xludf.DUMMYFUNCTION("""COMPUTED_VALUE"""),2024.0)</f>
        <v>2024</v>
      </c>
      <c r="V75" s="6" t="str">
        <f>IFERROR(__xludf.DUMMYFUNCTION("""COMPUTED_VALUE"""),"no")</f>
        <v>no</v>
      </c>
      <c r="W75" s="6" t="str">
        <f>IFERROR(__xludf.DUMMYFUNCTION("""COMPUTED_VALUE"""),"Duflos")</f>
        <v>Duflos</v>
      </c>
      <c r="X75" s="5"/>
      <c r="Y75" s="5" t="str">
        <f>IFERROR(__xludf.DUMMYFUNCTION("""COMPUTED_VALUE"""),"unpublished")</f>
        <v>unpublished</v>
      </c>
      <c r="Z75" s="5"/>
      <c r="AA75" s="5"/>
      <c r="AB75" s="5"/>
    </row>
    <row r="76">
      <c r="A76" s="5">
        <f>IFERROR(__xludf.DUMMYFUNCTION("""COMPUTED_VALUE"""),100074.0)</f>
        <v>100074</v>
      </c>
      <c r="B76" s="5" t="str">
        <f>IFERROR(__xludf.DUMMYFUNCTION("""COMPUTED_VALUE"""),"BROU-A-10")</f>
        <v>BROU-A-10</v>
      </c>
      <c r="C76" s="5">
        <f>IFERROR(__xludf.DUMMYFUNCTION("""COMPUTED_VALUE"""),22025.0)</f>
        <v>22025</v>
      </c>
      <c r="D76" s="5"/>
      <c r="E76" s="5"/>
      <c r="F76" s="5">
        <f>IFERROR(__xludf.DUMMYFUNCTION("""COMPUTED_VALUE"""),1.0)</f>
        <v>1</v>
      </c>
      <c r="G76" s="5"/>
      <c r="H76" s="5"/>
      <c r="I76" s="5"/>
      <c r="J76" s="5"/>
      <c r="K76" s="5">
        <f>IFERROR(__xludf.DUMMYFUNCTION("""COMPUTED_VALUE"""),43.999349)</f>
        <v>43.999349</v>
      </c>
      <c r="L76" s="5">
        <f>IFERROR(__xludf.DUMMYFUNCTION("""COMPUTED_VALUE"""),2.621684)</f>
        <v>2.621684</v>
      </c>
      <c r="M76" s="5">
        <f>IFERROR(__xludf.DUMMYFUNCTION("""COMPUTED_VALUE"""),281.0)</f>
        <v>281</v>
      </c>
      <c r="N76" s="5">
        <f>IFERROR(__xludf.DUMMYFUNCTION("""COMPUTED_VALUE"""),1.0)</f>
        <v>1</v>
      </c>
      <c r="O76" s="5"/>
      <c r="P76" s="5"/>
      <c r="Q76" s="5" t="str">
        <f>IFERROR(__xludf.DUMMYFUNCTION("""COMPUTED_VALUE"""),"yes")</f>
        <v>yes</v>
      </c>
      <c r="R76" s="5" t="str">
        <f>IFERROR(__xludf.DUMMYFUNCTION("""COMPUTED_VALUE"""),"HiFi")</f>
        <v>HiFi</v>
      </c>
      <c r="S76" s="5" t="str">
        <f>IFERROR(__xludf.DUMMYFUNCTION("""COMPUTED_VALUE"""),"hifiasm_v0.16.1-r375")</f>
        <v>hifiasm_v0.16.1-r375</v>
      </c>
      <c r="T76" s="6" t="str">
        <f>IFERROR(__xludf.DUMMYFUNCTION("""COMPUTED_VALUE"""),"Pool")</f>
        <v>Pool</v>
      </c>
      <c r="U76" s="6">
        <f>IFERROR(__xludf.DUMMYFUNCTION("""COMPUTED_VALUE"""),2023.0)</f>
        <v>2023</v>
      </c>
      <c r="V76" s="6" t="str">
        <f>IFERROR(__xludf.DUMMYFUNCTION("""COMPUTED_VALUE"""),"yes")</f>
        <v>yes</v>
      </c>
      <c r="W76" s="6" t="str">
        <f>IFERROR(__xludf.DUMMYFUNCTION("""COMPUTED_VALUE"""),"Wlodzimierz")</f>
        <v>Wlodzimierz</v>
      </c>
      <c r="X76" s="5">
        <f>IFERROR(__xludf.DUMMYFUNCTION("""COMPUTED_VALUE"""),2023.0)</f>
        <v>2023</v>
      </c>
      <c r="Y76" s="5" t="str">
        <f>IFERROR(__xludf.DUMMYFUNCTION("""COMPUTED_VALUE"""),"Nature")</f>
        <v>Nature</v>
      </c>
      <c r="Z76" s="7" t="str">
        <f>IFERROR(__xludf.DUMMYFUNCTION("""COMPUTED_VALUE"""),"10.1038/s41586-023-06062-z")</f>
        <v>10.1038/s41586-023-06062-z</v>
      </c>
      <c r="AA76" s="7" t="str">
        <f>IFERROR(__xludf.DUMMYFUNCTION("""COMPUTED_VALUE"""),"https://www.nature.com/articles/s41586-023-06062-z")</f>
        <v>https://www.nature.com/articles/s41586-023-06062-z</v>
      </c>
      <c r="AB76" s="5"/>
    </row>
    <row r="77">
      <c r="A77" s="5">
        <f>IFERROR(__xludf.DUMMYFUNCTION("""COMPUTED_VALUE"""),100075.0)</f>
        <v>100075</v>
      </c>
      <c r="B77" s="5" t="str">
        <f>IFERROR(__xludf.DUMMYFUNCTION("""COMPUTED_VALUE"""),"BROU-A-2")</f>
        <v>BROU-A-2</v>
      </c>
      <c r="C77" s="5">
        <f>IFERROR(__xludf.DUMMYFUNCTION("""COMPUTED_VALUE"""),22026.0)</f>
        <v>22026</v>
      </c>
      <c r="D77" s="5"/>
      <c r="E77" s="5"/>
      <c r="F77" s="5">
        <f>IFERROR(__xludf.DUMMYFUNCTION("""COMPUTED_VALUE"""),1.0)</f>
        <v>1</v>
      </c>
      <c r="G77" s="5"/>
      <c r="H77" s="5"/>
      <c r="I77" s="5"/>
      <c r="J77" s="5"/>
      <c r="K77" s="5">
        <f>IFERROR(__xludf.DUMMYFUNCTION("""COMPUTED_VALUE"""),43.999349)</f>
        <v>43.999349</v>
      </c>
      <c r="L77" s="5">
        <f>IFERROR(__xludf.DUMMYFUNCTION("""COMPUTED_VALUE"""),2.621684)</f>
        <v>2.621684</v>
      </c>
      <c r="M77" s="5">
        <f>IFERROR(__xludf.DUMMYFUNCTION("""COMPUTED_VALUE"""),281.0)</f>
        <v>281</v>
      </c>
      <c r="N77" s="5">
        <f>IFERROR(__xludf.DUMMYFUNCTION("""COMPUTED_VALUE"""),13.0)</f>
        <v>13</v>
      </c>
      <c r="O77" s="5"/>
      <c r="P77" s="5"/>
      <c r="Q77" s="5" t="str">
        <f>IFERROR(__xludf.DUMMYFUNCTION("""COMPUTED_VALUE"""),"yes")</f>
        <v>yes</v>
      </c>
      <c r="R77" s="5" t="str">
        <f>IFERROR(__xludf.DUMMYFUNCTION("""COMPUTED_VALUE"""),"HiFi")</f>
        <v>HiFi</v>
      </c>
      <c r="S77" s="5" t="str">
        <f>IFERROR(__xludf.DUMMYFUNCTION("""COMPUTED_VALUE"""),"hifiasm_v0.16.1-r375")</f>
        <v>hifiasm_v0.16.1-r375</v>
      </c>
      <c r="T77" s="6" t="str">
        <f>IFERROR(__xludf.DUMMYFUNCTION("""COMPUTED_VALUE"""),"Pool")</f>
        <v>Pool</v>
      </c>
      <c r="U77" s="6">
        <f>IFERROR(__xludf.DUMMYFUNCTION("""COMPUTED_VALUE"""),2024.0)</f>
        <v>2024</v>
      </c>
      <c r="V77" s="6" t="str">
        <f>IFERROR(__xludf.DUMMYFUNCTION("""COMPUTED_VALUE"""),"no")</f>
        <v>no</v>
      </c>
      <c r="W77" s="6" t="str">
        <f>IFERROR(__xludf.DUMMYFUNCTION("""COMPUTED_VALUE"""),"Duflos")</f>
        <v>Duflos</v>
      </c>
      <c r="X77" s="5"/>
      <c r="Y77" s="5" t="str">
        <f>IFERROR(__xludf.DUMMYFUNCTION("""COMPUTED_VALUE"""),"unpublished")</f>
        <v>unpublished</v>
      </c>
      <c r="Z77" s="5"/>
      <c r="AA77" s="5"/>
      <c r="AB77" s="5"/>
    </row>
    <row r="78">
      <c r="A78" s="5">
        <f>IFERROR(__xludf.DUMMYFUNCTION("""COMPUTED_VALUE"""),100076.0)</f>
        <v>100076</v>
      </c>
      <c r="B78" s="5" t="str">
        <f>IFERROR(__xludf.DUMMYFUNCTION("""COMPUTED_VALUE"""),"CAMA-C-2")</f>
        <v>CAMA-C-2</v>
      </c>
      <c r="C78" s="5">
        <f>IFERROR(__xludf.DUMMYFUNCTION("""COMPUTED_VALUE"""),22027.0)</f>
        <v>22027</v>
      </c>
      <c r="D78" s="5"/>
      <c r="E78" s="5"/>
      <c r="F78" s="5">
        <f>IFERROR(__xludf.DUMMYFUNCTION("""COMPUTED_VALUE"""),1.0)</f>
        <v>1</v>
      </c>
      <c r="G78" s="5"/>
      <c r="H78" s="5"/>
      <c r="I78" s="5"/>
      <c r="J78" s="5"/>
      <c r="K78" s="5">
        <f>IFERROR(__xludf.DUMMYFUNCTION("""COMPUTED_VALUE"""),43.824878)</f>
        <v>43.824878</v>
      </c>
      <c r="L78" s="5">
        <f>IFERROR(__xludf.DUMMYFUNCTION("""COMPUTED_VALUE"""),2.881661)</f>
        <v>2.881661</v>
      </c>
      <c r="M78" s="5">
        <f>IFERROR(__xludf.DUMMYFUNCTION("""COMPUTED_VALUE"""),397.0)</f>
        <v>397</v>
      </c>
      <c r="N78" s="5">
        <f>IFERROR(__xludf.DUMMYFUNCTION("""COMPUTED_VALUE"""),8.0)</f>
        <v>8</v>
      </c>
      <c r="O78" s="5"/>
      <c r="P78" s="5"/>
      <c r="Q78" s="5" t="str">
        <f>IFERROR(__xludf.DUMMYFUNCTION("""COMPUTED_VALUE"""),"yes")</f>
        <v>yes</v>
      </c>
      <c r="R78" s="5" t="str">
        <f>IFERROR(__xludf.DUMMYFUNCTION("""COMPUTED_VALUE"""),"HiFi")</f>
        <v>HiFi</v>
      </c>
      <c r="S78" s="5" t="str">
        <f>IFERROR(__xludf.DUMMYFUNCTION("""COMPUTED_VALUE"""),"hifiasm_v0.16.1-r375")</f>
        <v>hifiasm_v0.16.1-r375</v>
      </c>
      <c r="T78" s="6" t="str">
        <f>IFERROR(__xludf.DUMMYFUNCTION("""COMPUTED_VALUE"""),"Pool")</f>
        <v>Pool</v>
      </c>
      <c r="U78" s="6">
        <f>IFERROR(__xludf.DUMMYFUNCTION("""COMPUTED_VALUE"""),2023.0)</f>
        <v>2023</v>
      </c>
      <c r="V78" s="6" t="str">
        <f>IFERROR(__xludf.DUMMYFUNCTION("""COMPUTED_VALUE"""),"yes")</f>
        <v>yes</v>
      </c>
      <c r="W78" s="6" t="str">
        <f>IFERROR(__xludf.DUMMYFUNCTION("""COMPUTED_VALUE"""),"Wlodzimierz")</f>
        <v>Wlodzimierz</v>
      </c>
      <c r="X78" s="5">
        <f>IFERROR(__xludf.DUMMYFUNCTION("""COMPUTED_VALUE"""),2023.0)</f>
        <v>2023</v>
      </c>
      <c r="Y78" s="5" t="str">
        <f>IFERROR(__xludf.DUMMYFUNCTION("""COMPUTED_VALUE"""),"Nature")</f>
        <v>Nature</v>
      </c>
      <c r="Z78" s="7" t="str">
        <f>IFERROR(__xludf.DUMMYFUNCTION("""COMPUTED_VALUE"""),"10.1038/s41586-023-06062-z")</f>
        <v>10.1038/s41586-023-06062-z</v>
      </c>
      <c r="AA78" s="7" t="str">
        <f>IFERROR(__xludf.DUMMYFUNCTION("""COMPUTED_VALUE"""),"https://www.nature.com/articles/s41586-023-06062-z")</f>
        <v>https://www.nature.com/articles/s41586-023-06062-z</v>
      </c>
      <c r="AB78" s="5"/>
    </row>
    <row r="79">
      <c r="A79" s="5">
        <f>IFERROR(__xludf.DUMMYFUNCTION("""COMPUTED_VALUE"""),100077.0)</f>
        <v>100077</v>
      </c>
      <c r="B79" s="5" t="str">
        <f>IFERROR(__xludf.DUMMYFUNCTION("""COMPUTED_VALUE"""),"CAMA-C-9")</f>
        <v>CAMA-C-9</v>
      </c>
      <c r="C79" s="5">
        <f>IFERROR(__xludf.DUMMYFUNCTION("""COMPUTED_VALUE"""),22028.0)</f>
        <v>22028</v>
      </c>
      <c r="D79" s="5"/>
      <c r="E79" s="5"/>
      <c r="F79" s="5">
        <f>IFERROR(__xludf.DUMMYFUNCTION("""COMPUTED_VALUE"""),1.0)</f>
        <v>1</v>
      </c>
      <c r="G79" s="5"/>
      <c r="H79" s="5"/>
      <c r="I79" s="5"/>
      <c r="J79" s="5"/>
      <c r="K79" s="5">
        <f>IFERROR(__xludf.DUMMYFUNCTION("""COMPUTED_VALUE"""),43.824878)</f>
        <v>43.824878</v>
      </c>
      <c r="L79" s="5">
        <f>IFERROR(__xludf.DUMMYFUNCTION("""COMPUTED_VALUE"""),2.881661)</f>
        <v>2.881661</v>
      </c>
      <c r="M79" s="5">
        <f>IFERROR(__xludf.DUMMYFUNCTION("""COMPUTED_VALUE"""),397.0)</f>
        <v>397</v>
      </c>
      <c r="N79" s="5">
        <f>IFERROR(__xludf.DUMMYFUNCTION("""COMPUTED_VALUE"""),13.0)</f>
        <v>13</v>
      </c>
      <c r="O79" s="5"/>
      <c r="P79" s="5"/>
      <c r="Q79" s="5" t="str">
        <f>IFERROR(__xludf.DUMMYFUNCTION("""COMPUTED_VALUE"""),"yes")</f>
        <v>yes</v>
      </c>
      <c r="R79" s="5" t="str">
        <f>IFERROR(__xludf.DUMMYFUNCTION("""COMPUTED_VALUE"""),"HiFi")</f>
        <v>HiFi</v>
      </c>
      <c r="S79" s="5" t="str">
        <f>IFERROR(__xludf.DUMMYFUNCTION("""COMPUTED_VALUE"""),"hifiasm_v0.16.1-r375")</f>
        <v>hifiasm_v0.16.1-r375</v>
      </c>
      <c r="T79" s="6" t="str">
        <f>IFERROR(__xludf.DUMMYFUNCTION("""COMPUTED_VALUE"""),"Pool")</f>
        <v>Pool</v>
      </c>
      <c r="U79" s="6">
        <f>IFERROR(__xludf.DUMMYFUNCTION("""COMPUTED_VALUE"""),2023.0)</f>
        <v>2023</v>
      </c>
      <c r="V79" s="6" t="str">
        <f>IFERROR(__xludf.DUMMYFUNCTION("""COMPUTED_VALUE"""),"yes")</f>
        <v>yes</v>
      </c>
      <c r="W79" s="6" t="str">
        <f>IFERROR(__xludf.DUMMYFUNCTION("""COMPUTED_VALUE"""),"Wlodzimierz")</f>
        <v>Wlodzimierz</v>
      </c>
      <c r="X79" s="5">
        <f>IFERROR(__xludf.DUMMYFUNCTION("""COMPUTED_VALUE"""),2023.0)</f>
        <v>2023</v>
      </c>
      <c r="Y79" s="5" t="str">
        <f>IFERROR(__xludf.DUMMYFUNCTION("""COMPUTED_VALUE"""),"Nature")</f>
        <v>Nature</v>
      </c>
      <c r="Z79" s="7" t="str">
        <f>IFERROR(__xludf.DUMMYFUNCTION("""COMPUTED_VALUE"""),"10.1038/s41586-023-06062-z")</f>
        <v>10.1038/s41586-023-06062-z</v>
      </c>
      <c r="AA79" s="7" t="str">
        <f>IFERROR(__xludf.DUMMYFUNCTION("""COMPUTED_VALUE"""),"https://www.nature.com/articles/s41586-023-06062-z")</f>
        <v>https://www.nature.com/articles/s41586-023-06062-z</v>
      </c>
      <c r="AB79" s="5"/>
    </row>
    <row r="80">
      <c r="A80" s="5">
        <f>IFERROR(__xludf.DUMMYFUNCTION("""COMPUTED_VALUE"""),100078.0)</f>
        <v>100078</v>
      </c>
      <c r="B80" s="5" t="str">
        <f>IFERROR(__xludf.DUMMYFUNCTION("""COMPUTED_VALUE"""),"CARL-A-10")</f>
        <v>CARL-A-10</v>
      </c>
      <c r="C80" s="5">
        <f>IFERROR(__xludf.DUMMYFUNCTION("""COMPUTED_VALUE"""),22029.0)</f>
        <v>22029</v>
      </c>
      <c r="D80" s="5"/>
      <c r="E80" s="5"/>
      <c r="F80" s="5">
        <f>IFERROR(__xludf.DUMMYFUNCTION("""COMPUTED_VALUE"""),1.0)</f>
        <v>1</v>
      </c>
      <c r="G80" s="5"/>
      <c r="H80" s="5"/>
      <c r="I80" s="5"/>
      <c r="J80" s="5"/>
      <c r="K80" s="5">
        <f>IFERROR(__xludf.DUMMYFUNCTION("""COMPUTED_VALUE"""),43.151102)</f>
        <v>43.151102</v>
      </c>
      <c r="L80" s="5">
        <f>IFERROR(__xludf.DUMMYFUNCTION("""COMPUTED_VALUE"""),1.3923)</f>
        <v>1.3923</v>
      </c>
      <c r="M80" s="5">
        <f>IFERROR(__xludf.DUMMYFUNCTION("""COMPUTED_VALUE"""),385.0)</f>
        <v>385</v>
      </c>
      <c r="N80" s="5">
        <f>IFERROR(__xludf.DUMMYFUNCTION("""COMPUTED_VALUE"""),7.0)</f>
        <v>7</v>
      </c>
      <c r="O80" s="5"/>
      <c r="P80" s="5"/>
      <c r="Q80" s="5" t="str">
        <f>IFERROR(__xludf.DUMMYFUNCTION("""COMPUTED_VALUE"""),"no")</f>
        <v>no</v>
      </c>
      <c r="R80" s="5" t="str">
        <f>IFERROR(__xludf.DUMMYFUNCTION("""COMPUTED_VALUE"""),"HiFi")</f>
        <v>HiFi</v>
      </c>
      <c r="S80" s="5" t="str">
        <f>IFERROR(__xludf.DUMMYFUNCTION("""COMPUTED_VALUE"""),"hifiasm_v0.16.1-r375")</f>
        <v>hifiasm_v0.16.1-r375</v>
      </c>
      <c r="T80" s="6" t="str">
        <f>IFERROR(__xludf.DUMMYFUNCTION("""COMPUTED_VALUE"""),"Pool")</f>
        <v>Pool</v>
      </c>
      <c r="U80" s="6">
        <f>IFERROR(__xludf.DUMMYFUNCTION("""COMPUTED_VALUE"""),2024.0)</f>
        <v>2024</v>
      </c>
      <c r="V80" s="6" t="str">
        <f>IFERROR(__xludf.DUMMYFUNCTION("""COMPUTED_VALUE"""),"no")</f>
        <v>no</v>
      </c>
      <c r="W80" s="6" t="str">
        <f>IFERROR(__xludf.DUMMYFUNCTION("""COMPUTED_VALUE"""),"Duflos")</f>
        <v>Duflos</v>
      </c>
      <c r="X80" s="5"/>
      <c r="Y80" s="5" t="str">
        <f>IFERROR(__xludf.DUMMYFUNCTION("""COMPUTED_VALUE"""),"unpublished")</f>
        <v>unpublished</v>
      </c>
      <c r="Z80" s="5"/>
      <c r="AA80" s="5"/>
      <c r="AB80" s="5"/>
    </row>
    <row r="81">
      <c r="A81" s="5">
        <f>IFERROR(__xludf.DUMMYFUNCTION("""COMPUTED_VALUE"""),100079.0)</f>
        <v>100079</v>
      </c>
      <c r="B81" s="5" t="str">
        <f>IFERROR(__xludf.DUMMYFUNCTION("""COMPUTED_VALUE"""),"CARL-A-16")</f>
        <v>CARL-A-16</v>
      </c>
      <c r="C81" s="5">
        <f>IFERROR(__xludf.DUMMYFUNCTION("""COMPUTED_VALUE"""),22030.0)</f>
        <v>22030</v>
      </c>
      <c r="D81" s="5"/>
      <c r="E81" s="5"/>
      <c r="F81" s="5">
        <f>IFERROR(__xludf.DUMMYFUNCTION("""COMPUTED_VALUE"""),1.0)</f>
        <v>1</v>
      </c>
      <c r="G81" s="5"/>
      <c r="H81" s="5"/>
      <c r="I81" s="5"/>
      <c r="J81" s="5"/>
      <c r="K81" s="5">
        <f>IFERROR(__xludf.DUMMYFUNCTION("""COMPUTED_VALUE"""),43.151102)</f>
        <v>43.151102</v>
      </c>
      <c r="L81" s="5">
        <f>IFERROR(__xludf.DUMMYFUNCTION("""COMPUTED_VALUE"""),1.3923)</f>
        <v>1.3923</v>
      </c>
      <c r="M81" s="5">
        <f>IFERROR(__xludf.DUMMYFUNCTION("""COMPUTED_VALUE"""),385.0)</f>
        <v>385</v>
      </c>
      <c r="N81" s="5">
        <f>IFERROR(__xludf.DUMMYFUNCTION("""COMPUTED_VALUE"""),7.0)</f>
        <v>7</v>
      </c>
      <c r="O81" s="5"/>
      <c r="P81" s="5"/>
      <c r="Q81" s="5" t="str">
        <f>IFERROR(__xludf.DUMMYFUNCTION("""COMPUTED_VALUE"""),"yes")</f>
        <v>yes</v>
      </c>
      <c r="R81" s="5" t="str">
        <f>IFERROR(__xludf.DUMMYFUNCTION("""COMPUTED_VALUE"""),"HiFi")</f>
        <v>HiFi</v>
      </c>
      <c r="S81" s="5" t="str">
        <f>IFERROR(__xludf.DUMMYFUNCTION("""COMPUTED_VALUE"""),"hifiasm_v0.16.1-r375")</f>
        <v>hifiasm_v0.16.1-r375</v>
      </c>
      <c r="T81" s="6" t="str">
        <f>IFERROR(__xludf.DUMMYFUNCTION("""COMPUTED_VALUE"""),"Pool")</f>
        <v>Pool</v>
      </c>
      <c r="U81" s="6">
        <f>IFERROR(__xludf.DUMMYFUNCTION("""COMPUTED_VALUE"""),2024.0)</f>
        <v>2024</v>
      </c>
      <c r="V81" s="6" t="str">
        <f>IFERROR(__xludf.DUMMYFUNCTION("""COMPUTED_VALUE"""),"no")</f>
        <v>no</v>
      </c>
      <c r="W81" s="6" t="str">
        <f>IFERROR(__xludf.DUMMYFUNCTION("""COMPUTED_VALUE"""),"Duflos")</f>
        <v>Duflos</v>
      </c>
      <c r="X81" s="5"/>
      <c r="Y81" s="5" t="str">
        <f>IFERROR(__xludf.DUMMYFUNCTION("""COMPUTED_VALUE"""),"unpublished")</f>
        <v>unpublished</v>
      </c>
      <c r="Z81" s="5"/>
      <c r="AA81" s="5"/>
      <c r="AB81" s="5"/>
    </row>
    <row r="82">
      <c r="A82" s="5">
        <f>IFERROR(__xludf.DUMMYFUNCTION("""COMPUTED_VALUE"""),100080.0)</f>
        <v>100080</v>
      </c>
      <c r="B82" s="5" t="str">
        <f>IFERROR(__xludf.DUMMYFUNCTION("""COMPUTED_VALUE"""),"FERR-A-12")</f>
        <v>FERR-A-12</v>
      </c>
      <c r="C82" s="5">
        <f>IFERROR(__xludf.DUMMYFUNCTION("""COMPUTED_VALUE"""),22031.0)</f>
        <v>22031</v>
      </c>
      <c r="D82" s="5"/>
      <c r="E82" s="5"/>
      <c r="F82" s="5">
        <f>IFERROR(__xludf.DUMMYFUNCTION("""COMPUTED_VALUE"""),1.0)</f>
        <v>1</v>
      </c>
      <c r="G82" s="5"/>
      <c r="H82" s="5"/>
      <c r="I82" s="5"/>
      <c r="J82" s="5"/>
      <c r="K82" s="5">
        <f>IFERROR(__xludf.DUMMYFUNCTION("""COMPUTED_VALUE"""),43.657743)</f>
        <v>43.657743</v>
      </c>
      <c r="L82" s="5">
        <f>IFERROR(__xludf.DUMMYFUNCTION("""COMPUTED_VALUE"""),2.44371)</f>
        <v>2.44371</v>
      </c>
      <c r="M82" s="5">
        <f>IFERROR(__xludf.DUMMYFUNCTION("""COMPUTED_VALUE"""),541.0)</f>
        <v>541</v>
      </c>
      <c r="N82" s="5">
        <f>IFERROR(__xludf.DUMMYFUNCTION("""COMPUTED_VALUE"""),6.0)</f>
        <v>6</v>
      </c>
      <c r="O82" s="5"/>
      <c r="P82" s="5"/>
      <c r="Q82" s="5" t="str">
        <f>IFERROR(__xludf.DUMMYFUNCTION("""COMPUTED_VALUE"""),"yes")</f>
        <v>yes</v>
      </c>
      <c r="R82" s="5" t="str">
        <f>IFERROR(__xludf.DUMMYFUNCTION("""COMPUTED_VALUE"""),"HiFi")</f>
        <v>HiFi</v>
      </c>
      <c r="S82" s="5" t="str">
        <f>IFERROR(__xludf.DUMMYFUNCTION("""COMPUTED_VALUE"""),"hifiasm_v0.16.1-r375")</f>
        <v>hifiasm_v0.16.1-r375</v>
      </c>
      <c r="T82" s="6" t="str">
        <f>IFERROR(__xludf.DUMMYFUNCTION("""COMPUTED_VALUE"""),"Pool")</f>
        <v>Pool</v>
      </c>
      <c r="U82" s="6">
        <f>IFERROR(__xludf.DUMMYFUNCTION("""COMPUTED_VALUE"""),2023.0)</f>
        <v>2023</v>
      </c>
      <c r="V82" s="6" t="str">
        <f>IFERROR(__xludf.DUMMYFUNCTION("""COMPUTED_VALUE"""),"yes")</f>
        <v>yes</v>
      </c>
      <c r="W82" s="6" t="str">
        <f>IFERROR(__xludf.DUMMYFUNCTION("""COMPUTED_VALUE"""),"Wlodzimierz")</f>
        <v>Wlodzimierz</v>
      </c>
      <c r="X82" s="5">
        <f>IFERROR(__xludf.DUMMYFUNCTION("""COMPUTED_VALUE"""),2023.0)</f>
        <v>2023</v>
      </c>
      <c r="Y82" s="5" t="str">
        <f>IFERROR(__xludf.DUMMYFUNCTION("""COMPUTED_VALUE"""),"Nature")</f>
        <v>Nature</v>
      </c>
      <c r="Z82" s="7" t="str">
        <f>IFERROR(__xludf.DUMMYFUNCTION("""COMPUTED_VALUE"""),"10.1038/s41586-023-06062-z")</f>
        <v>10.1038/s41586-023-06062-z</v>
      </c>
      <c r="AA82" s="7" t="str">
        <f>IFERROR(__xludf.DUMMYFUNCTION("""COMPUTED_VALUE"""),"https://www.nature.com/articles/s41586-023-06062-z")</f>
        <v>https://www.nature.com/articles/s41586-023-06062-z</v>
      </c>
      <c r="AB82" s="5"/>
    </row>
    <row r="83">
      <c r="A83" s="5">
        <f>IFERROR(__xludf.DUMMYFUNCTION("""COMPUTED_VALUE"""),100081.0)</f>
        <v>100081</v>
      </c>
      <c r="B83" s="5" t="str">
        <f>IFERROR(__xludf.DUMMYFUNCTION("""COMPUTED_VALUE"""),"FERR-A-8")</f>
        <v>FERR-A-8</v>
      </c>
      <c r="C83" s="5">
        <f>IFERROR(__xludf.DUMMYFUNCTION("""COMPUTED_VALUE"""),22032.0)</f>
        <v>22032</v>
      </c>
      <c r="D83" s="5"/>
      <c r="E83" s="5"/>
      <c r="F83" s="5">
        <f>IFERROR(__xludf.DUMMYFUNCTION("""COMPUTED_VALUE"""),1.0)</f>
        <v>1</v>
      </c>
      <c r="G83" s="5"/>
      <c r="H83" s="5"/>
      <c r="I83" s="5"/>
      <c r="J83" s="5"/>
      <c r="K83" s="5">
        <f>IFERROR(__xludf.DUMMYFUNCTION("""COMPUTED_VALUE"""),43.657743)</f>
        <v>43.657743</v>
      </c>
      <c r="L83" s="5">
        <f>IFERROR(__xludf.DUMMYFUNCTION("""COMPUTED_VALUE"""),2.44371)</f>
        <v>2.44371</v>
      </c>
      <c r="M83" s="5">
        <f>IFERROR(__xludf.DUMMYFUNCTION("""COMPUTED_VALUE"""),541.0)</f>
        <v>541</v>
      </c>
      <c r="N83" s="5">
        <f>IFERROR(__xludf.DUMMYFUNCTION("""COMPUTED_VALUE"""),9.0)</f>
        <v>9</v>
      </c>
      <c r="O83" s="5"/>
      <c r="P83" s="5"/>
      <c r="Q83" s="5" t="str">
        <f>IFERROR(__xludf.DUMMYFUNCTION("""COMPUTED_VALUE"""),"yes")</f>
        <v>yes</v>
      </c>
      <c r="R83" s="5" t="str">
        <f>IFERROR(__xludf.DUMMYFUNCTION("""COMPUTED_VALUE"""),"HiFi")</f>
        <v>HiFi</v>
      </c>
      <c r="S83" s="5" t="str">
        <f>IFERROR(__xludf.DUMMYFUNCTION("""COMPUTED_VALUE"""),"hifiasm_v0.16.1-r375")</f>
        <v>hifiasm_v0.16.1-r375</v>
      </c>
      <c r="T83" s="6" t="str">
        <f>IFERROR(__xludf.DUMMYFUNCTION("""COMPUTED_VALUE"""),"Pool")</f>
        <v>Pool</v>
      </c>
      <c r="U83" s="6">
        <f>IFERROR(__xludf.DUMMYFUNCTION("""COMPUTED_VALUE"""),2023.0)</f>
        <v>2023</v>
      </c>
      <c r="V83" s="6" t="str">
        <f>IFERROR(__xludf.DUMMYFUNCTION("""COMPUTED_VALUE"""),"yes")</f>
        <v>yes</v>
      </c>
      <c r="W83" s="6" t="str">
        <f>IFERROR(__xludf.DUMMYFUNCTION("""COMPUTED_VALUE"""),"Wlodzimierz")</f>
        <v>Wlodzimierz</v>
      </c>
      <c r="X83" s="5">
        <f>IFERROR(__xludf.DUMMYFUNCTION("""COMPUTED_VALUE"""),2023.0)</f>
        <v>2023</v>
      </c>
      <c r="Y83" s="5" t="str">
        <f>IFERROR(__xludf.DUMMYFUNCTION("""COMPUTED_VALUE"""),"Nature")</f>
        <v>Nature</v>
      </c>
      <c r="Z83" s="7" t="str">
        <f>IFERROR(__xludf.DUMMYFUNCTION("""COMPUTED_VALUE"""),"10.1038/s41586-023-06062-z")</f>
        <v>10.1038/s41586-023-06062-z</v>
      </c>
      <c r="AA83" s="7" t="str">
        <f>IFERROR(__xludf.DUMMYFUNCTION("""COMPUTED_VALUE"""),"https://www.nature.com/articles/s41586-023-06062-z")</f>
        <v>https://www.nature.com/articles/s41586-023-06062-z</v>
      </c>
      <c r="AB83" s="5"/>
    </row>
    <row r="84">
      <c r="A84" s="5">
        <f>IFERROR(__xludf.DUMMYFUNCTION("""COMPUTED_VALUE"""),100082.0)</f>
        <v>100082</v>
      </c>
      <c r="B84" s="5" t="str">
        <f>IFERROR(__xludf.DUMMYFUNCTION("""COMPUTED_VALUE"""),"GAIL-B-11")</f>
        <v>GAIL-B-11</v>
      </c>
      <c r="C84" s="5">
        <f>IFERROR(__xludf.DUMMYFUNCTION("""COMPUTED_VALUE"""),22033.0)</f>
        <v>22033</v>
      </c>
      <c r="D84" s="5"/>
      <c r="E84" s="5"/>
      <c r="F84" s="5">
        <f>IFERROR(__xludf.DUMMYFUNCTION("""COMPUTED_VALUE"""),1.0)</f>
        <v>1</v>
      </c>
      <c r="G84" s="5"/>
      <c r="H84" s="5"/>
      <c r="I84" s="5"/>
      <c r="J84" s="5"/>
      <c r="K84" s="5">
        <f>IFERROR(__xludf.DUMMYFUNCTION("""COMPUTED_VALUE"""),43.909032)</f>
        <v>43.909032</v>
      </c>
      <c r="L84" s="5">
        <f>IFERROR(__xludf.DUMMYFUNCTION("""COMPUTED_VALUE"""),1.901077)</f>
        <v>1.901077</v>
      </c>
      <c r="M84" s="5">
        <f>IFERROR(__xludf.DUMMYFUNCTION("""COMPUTED_VALUE"""),144.0)</f>
        <v>144</v>
      </c>
      <c r="N84" s="5">
        <f>IFERROR(__xludf.DUMMYFUNCTION("""COMPUTED_VALUE"""),7.0)</f>
        <v>7</v>
      </c>
      <c r="O84" s="5"/>
      <c r="P84" s="5"/>
      <c r="Q84" s="5" t="str">
        <f>IFERROR(__xludf.DUMMYFUNCTION("""COMPUTED_VALUE"""),"yes")</f>
        <v>yes</v>
      </c>
      <c r="R84" s="5" t="str">
        <f>IFERROR(__xludf.DUMMYFUNCTION("""COMPUTED_VALUE"""),"HiFi")</f>
        <v>HiFi</v>
      </c>
      <c r="S84" s="5" t="str">
        <f>IFERROR(__xludf.DUMMYFUNCTION("""COMPUTED_VALUE"""),"hifiasm_v0.16.1-r375")</f>
        <v>hifiasm_v0.16.1-r375</v>
      </c>
      <c r="T84" s="6" t="str">
        <f>IFERROR(__xludf.DUMMYFUNCTION("""COMPUTED_VALUE"""),"Pool")</f>
        <v>Pool</v>
      </c>
      <c r="U84" s="6">
        <f>IFERROR(__xludf.DUMMYFUNCTION("""COMPUTED_VALUE"""),2023.0)</f>
        <v>2023</v>
      </c>
      <c r="V84" s="6" t="str">
        <f>IFERROR(__xludf.DUMMYFUNCTION("""COMPUTED_VALUE"""),"yes")</f>
        <v>yes</v>
      </c>
      <c r="W84" s="6" t="str">
        <f>IFERROR(__xludf.DUMMYFUNCTION("""COMPUTED_VALUE"""),"Wlodzimierz")</f>
        <v>Wlodzimierz</v>
      </c>
      <c r="X84" s="5">
        <f>IFERROR(__xludf.DUMMYFUNCTION("""COMPUTED_VALUE"""),2023.0)</f>
        <v>2023</v>
      </c>
      <c r="Y84" s="5" t="str">
        <f>IFERROR(__xludf.DUMMYFUNCTION("""COMPUTED_VALUE"""),"Nature")</f>
        <v>Nature</v>
      </c>
      <c r="Z84" s="7" t="str">
        <f>IFERROR(__xludf.DUMMYFUNCTION("""COMPUTED_VALUE"""),"10.1038/s41586-023-06062-z")</f>
        <v>10.1038/s41586-023-06062-z</v>
      </c>
      <c r="AA84" s="7" t="str">
        <f>IFERROR(__xludf.DUMMYFUNCTION("""COMPUTED_VALUE"""),"https://www.nature.com/articles/s41586-023-06062-z")</f>
        <v>https://www.nature.com/articles/s41586-023-06062-z</v>
      </c>
      <c r="AB84" s="5"/>
    </row>
    <row r="85">
      <c r="A85" s="5">
        <f>IFERROR(__xludf.DUMMYFUNCTION("""COMPUTED_VALUE"""),100083.0)</f>
        <v>100083</v>
      </c>
      <c r="B85" s="5" t="str">
        <f>IFERROR(__xludf.DUMMYFUNCTION("""COMPUTED_VALUE"""),"GAIL-B-9")</f>
        <v>GAIL-B-9</v>
      </c>
      <c r="C85" s="5">
        <f>IFERROR(__xludf.DUMMYFUNCTION("""COMPUTED_VALUE"""),22034.0)</f>
        <v>22034</v>
      </c>
      <c r="D85" s="5"/>
      <c r="E85" s="5"/>
      <c r="F85" s="5">
        <f>IFERROR(__xludf.DUMMYFUNCTION("""COMPUTED_VALUE"""),1.0)</f>
        <v>1</v>
      </c>
      <c r="G85" s="5"/>
      <c r="H85" s="5"/>
      <c r="I85" s="5"/>
      <c r="J85" s="5"/>
      <c r="K85" s="5">
        <f>IFERROR(__xludf.DUMMYFUNCTION("""COMPUTED_VALUE"""),43.909032)</f>
        <v>43.909032</v>
      </c>
      <c r="L85" s="5">
        <f>IFERROR(__xludf.DUMMYFUNCTION("""COMPUTED_VALUE"""),1.901077)</f>
        <v>1.901077</v>
      </c>
      <c r="M85" s="5">
        <f>IFERROR(__xludf.DUMMYFUNCTION("""COMPUTED_VALUE"""),144.0)</f>
        <v>144</v>
      </c>
      <c r="N85" s="5">
        <f>IFERROR(__xludf.DUMMYFUNCTION("""COMPUTED_VALUE"""),14.0)</f>
        <v>14</v>
      </c>
      <c r="O85" s="5"/>
      <c r="P85" s="5"/>
      <c r="Q85" s="5" t="str">
        <f>IFERROR(__xludf.DUMMYFUNCTION("""COMPUTED_VALUE"""),"yes")</f>
        <v>yes</v>
      </c>
      <c r="R85" s="5" t="str">
        <f>IFERROR(__xludf.DUMMYFUNCTION("""COMPUTED_VALUE"""),"HiFi")</f>
        <v>HiFi</v>
      </c>
      <c r="S85" s="5" t="str">
        <f>IFERROR(__xludf.DUMMYFUNCTION("""COMPUTED_VALUE"""),"hifiasm_v0.16.1-r375")</f>
        <v>hifiasm_v0.16.1-r375</v>
      </c>
      <c r="T85" s="6" t="str">
        <f>IFERROR(__xludf.DUMMYFUNCTION("""COMPUTED_VALUE"""),"Pool")</f>
        <v>Pool</v>
      </c>
      <c r="U85" s="6">
        <f>IFERROR(__xludf.DUMMYFUNCTION("""COMPUTED_VALUE"""),2024.0)</f>
        <v>2024</v>
      </c>
      <c r="V85" s="6" t="str">
        <f>IFERROR(__xludf.DUMMYFUNCTION("""COMPUTED_VALUE"""),"no")</f>
        <v>no</v>
      </c>
      <c r="W85" s="6" t="str">
        <f>IFERROR(__xludf.DUMMYFUNCTION("""COMPUTED_VALUE"""),"Duflos")</f>
        <v>Duflos</v>
      </c>
      <c r="X85" s="5"/>
      <c r="Y85" s="5" t="str">
        <f>IFERROR(__xludf.DUMMYFUNCTION("""COMPUTED_VALUE"""),"unpublished")</f>
        <v>unpublished</v>
      </c>
      <c r="Z85" s="5"/>
      <c r="AA85" s="5"/>
      <c r="AB85" s="5"/>
    </row>
    <row r="86">
      <c r="A86" s="5">
        <f>IFERROR(__xludf.DUMMYFUNCTION("""COMPUTED_VALUE"""),100084.0)</f>
        <v>100084</v>
      </c>
      <c r="B86" s="5" t="str">
        <f>IFERROR(__xludf.DUMMYFUNCTION("""COMPUTED_VALUE"""),"JUZE-A-2")</f>
        <v>JUZE-A-2</v>
      </c>
      <c r="C86" s="5">
        <f>IFERROR(__xludf.DUMMYFUNCTION("""COMPUTED_VALUE"""),22035.0)</f>
        <v>22035</v>
      </c>
      <c r="D86" s="5"/>
      <c r="E86" s="5"/>
      <c r="F86" s="5">
        <f>IFERROR(__xludf.DUMMYFUNCTION("""COMPUTED_VALUE"""),1.0)</f>
        <v>1</v>
      </c>
      <c r="G86" s="5"/>
      <c r="H86" s="5"/>
      <c r="I86" s="5"/>
      <c r="J86" s="5"/>
      <c r="K86" s="5">
        <f>IFERROR(__xludf.DUMMYFUNCTION("""COMPUTED_VALUE"""),43.448838)</f>
        <v>43.448838</v>
      </c>
      <c r="L86" s="5">
        <f>IFERROR(__xludf.DUMMYFUNCTION("""COMPUTED_VALUE"""),1.79053)</f>
        <v>1.79053</v>
      </c>
      <c r="M86" s="5">
        <f>IFERROR(__xludf.DUMMYFUNCTION("""COMPUTED_VALUE"""),235.0)</f>
        <v>235</v>
      </c>
      <c r="N86" s="5">
        <f>IFERROR(__xludf.DUMMYFUNCTION("""COMPUTED_VALUE"""),10.0)</f>
        <v>10</v>
      </c>
      <c r="O86" s="5"/>
      <c r="P86" s="5"/>
      <c r="Q86" s="5" t="str">
        <f>IFERROR(__xludf.DUMMYFUNCTION("""COMPUTED_VALUE"""),"no")</f>
        <v>no</v>
      </c>
      <c r="R86" s="5" t="str">
        <f>IFERROR(__xludf.DUMMYFUNCTION("""COMPUTED_VALUE"""),"HiFi")</f>
        <v>HiFi</v>
      </c>
      <c r="S86" s="5" t="str">
        <f>IFERROR(__xludf.DUMMYFUNCTION("""COMPUTED_VALUE"""),"hifiasm_v0.16.1-r375")</f>
        <v>hifiasm_v0.16.1-r375</v>
      </c>
      <c r="T86" s="6" t="str">
        <f>IFERROR(__xludf.DUMMYFUNCTION("""COMPUTED_VALUE"""),"Pool")</f>
        <v>Pool</v>
      </c>
      <c r="U86" s="6">
        <f>IFERROR(__xludf.DUMMYFUNCTION("""COMPUTED_VALUE"""),2024.0)</f>
        <v>2024</v>
      </c>
      <c r="V86" s="6" t="str">
        <f>IFERROR(__xludf.DUMMYFUNCTION("""COMPUTED_VALUE"""),"no")</f>
        <v>no</v>
      </c>
      <c r="W86" s="6" t="str">
        <f>IFERROR(__xludf.DUMMYFUNCTION("""COMPUTED_VALUE"""),"Duflos")</f>
        <v>Duflos</v>
      </c>
      <c r="X86" s="5"/>
      <c r="Y86" s="5" t="str">
        <f>IFERROR(__xludf.DUMMYFUNCTION("""COMPUTED_VALUE"""),"unpublished")</f>
        <v>unpublished</v>
      </c>
      <c r="Z86" s="5"/>
      <c r="AA86" s="5"/>
      <c r="AB86" s="5"/>
    </row>
    <row r="87">
      <c r="A87" s="5">
        <f>IFERROR(__xludf.DUMMYFUNCTION("""COMPUTED_VALUE"""),100085.0)</f>
        <v>100085</v>
      </c>
      <c r="B87" s="5" t="str">
        <f>IFERROR(__xludf.DUMMYFUNCTION("""COMPUTED_VALUE"""),"JUZE-A-3")</f>
        <v>JUZE-A-3</v>
      </c>
      <c r="C87" s="5">
        <f>IFERROR(__xludf.DUMMYFUNCTION("""COMPUTED_VALUE"""),22036.0)</f>
        <v>22036</v>
      </c>
      <c r="D87" s="5"/>
      <c r="E87" s="5"/>
      <c r="F87" s="5">
        <f>IFERROR(__xludf.DUMMYFUNCTION("""COMPUTED_VALUE"""),1.0)</f>
        <v>1</v>
      </c>
      <c r="G87" s="5"/>
      <c r="H87" s="5"/>
      <c r="I87" s="5"/>
      <c r="J87" s="5"/>
      <c r="K87" s="5">
        <f>IFERROR(__xludf.DUMMYFUNCTION("""COMPUTED_VALUE"""),43.448838)</f>
        <v>43.448838</v>
      </c>
      <c r="L87" s="5">
        <f>IFERROR(__xludf.DUMMYFUNCTION("""COMPUTED_VALUE"""),1.79053)</f>
        <v>1.79053</v>
      </c>
      <c r="M87" s="5">
        <f>IFERROR(__xludf.DUMMYFUNCTION("""COMPUTED_VALUE"""),235.0)</f>
        <v>235</v>
      </c>
      <c r="N87" s="5">
        <f>IFERROR(__xludf.DUMMYFUNCTION("""COMPUTED_VALUE"""),4.0)</f>
        <v>4</v>
      </c>
      <c r="O87" s="5"/>
      <c r="P87" s="5"/>
      <c r="Q87" s="5" t="str">
        <f>IFERROR(__xludf.DUMMYFUNCTION("""COMPUTED_VALUE"""),"yes")</f>
        <v>yes</v>
      </c>
      <c r="R87" s="5" t="str">
        <f>IFERROR(__xludf.DUMMYFUNCTION("""COMPUTED_VALUE"""),"HiFi")</f>
        <v>HiFi</v>
      </c>
      <c r="S87" s="5" t="str">
        <f>IFERROR(__xludf.DUMMYFUNCTION("""COMPUTED_VALUE"""),"hifiasm_v0.16.1-r375")</f>
        <v>hifiasm_v0.16.1-r375</v>
      </c>
      <c r="T87" s="6" t="str">
        <f>IFERROR(__xludf.DUMMYFUNCTION("""COMPUTED_VALUE"""),"Pool")</f>
        <v>Pool</v>
      </c>
      <c r="U87" s="6">
        <f>IFERROR(__xludf.DUMMYFUNCTION("""COMPUTED_VALUE"""),2024.0)</f>
        <v>2024</v>
      </c>
      <c r="V87" s="6" t="str">
        <f>IFERROR(__xludf.DUMMYFUNCTION("""COMPUTED_VALUE"""),"no")</f>
        <v>no</v>
      </c>
      <c r="W87" s="6" t="str">
        <f>IFERROR(__xludf.DUMMYFUNCTION("""COMPUTED_VALUE"""),"Duflos")</f>
        <v>Duflos</v>
      </c>
      <c r="X87" s="5"/>
      <c r="Y87" s="5" t="str">
        <f>IFERROR(__xludf.DUMMYFUNCTION("""COMPUTED_VALUE"""),"unpublished")</f>
        <v>unpublished</v>
      </c>
      <c r="Z87" s="5"/>
      <c r="AA87" s="5"/>
      <c r="AB87" s="5"/>
    </row>
    <row r="88">
      <c r="A88" s="5">
        <f>IFERROR(__xludf.DUMMYFUNCTION("""COMPUTED_VALUE"""),100086.0)</f>
        <v>100086</v>
      </c>
      <c r="B88" s="5" t="str">
        <f>IFERROR(__xludf.DUMMYFUNCTION("""COMPUTED_VALUE"""),"LACR-C-14")</f>
        <v>LACR-C-14</v>
      </c>
      <c r="C88" s="5">
        <f>IFERROR(__xludf.DUMMYFUNCTION("""COMPUTED_VALUE"""),22037.0)</f>
        <v>22037</v>
      </c>
      <c r="D88" s="5"/>
      <c r="E88" s="5"/>
      <c r="F88" s="5">
        <f>IFERROR(__xludf.DUMMYFUNCTION("""COMPUTED_VALUE"""),1.0)</f>
        <v>1</v>
      </c>
      <c r="G88" s="5"/>
      <c r="H88" s="5"/>
      <c r="I88" s="5"/>
      <c r="J88" s="5"/>
      <c r="K88" s="5">
        <f>IFERROR(__xludf.DUMMYFUNCTION("""COMPUTED_VALUE"""),43.000155)</f>
        <v>43.000155</v>
      </c>
      <c r="L88" s="5">
        <f>IFERROR(__xludf.DUMMYFUNCTION("""COMPUTED_VALUE"""),1.075624)</f>
        <v>1.075624</v>
      </c>
      <c r="M88" s="5">
        <f>IFERROR(__xludf.DUMMYFUNCTION("""COMPUTED_VALUE"""),493.0)</f>
        <v>493</v>
      </c>
      <c r="N88" s="5">
        <f>IFERROR(__xludf.DUMMYFUNCTION("""COMPUTED_VALUE"""),7.0)</f>
        <v>7</v>
      </c>
      <c r="O88" s="5"/>
      <c r="P88" s="5"/>
      <c r="Q88" s="5" t="str">
        <f>IFERROR(__xludf.DUMMYFUNCTION("""COMPUTED_VALUE"""),"yes")</f>
        <v>yes</v>
      </c>
      <c r="R88" s="5" t="str">
        <f>IFERROR(__xludf.DUMMYFUNCTION("""COMPUTED_VALUE"""),"HiFi")</f>
        <v>HiFi</v>
      </c>
      <c r="S88" s="5" t="str">
        <f>IFERROR(__xludf.DUMMYFUNCTION("""COMPUTED_VALUE"""),"hifiasm_v0.16.1-r375")</f>
        <v>hifiasm_v0.16.1-r375</v>
      </c>
      <c r="T88" s="6" t="str">
        <f>IFERROR(__xludf.DUMMYFUNCTION("""COMPUTED_VALUE"""),"Pool")</f>
        <v>Pool</v>
      </c>
      <c r="U88" s="6">
        <f>IFERROR(__xludf.DUMMYFUNCTION("""COMPUTED_VALUE"""),2023.0)</f>
        <v>2023</v>
      </c>
      <c r="V88" s="6" t="str">
        <f>IFERROR(__xludf.DUMMYFUNCTION("""COMPUTED_VALUE"""),"yes")</f>
        <v>yes</v>
      </c>
      <c r="W88" s="6" t="str">
        <f>IFERROR(__xludf.DUMMYFUNCTION("""COMPUTED_VALUE"""),"Wlodzimierz")</f>
        <v>Wlodzimierz</v>
      </c>
      <c r="X88" s="5">
        <f>IFERROR(__xludf.DUMMYFUNCTION("""COMPUTED_VALUE"""),2023.0)</f>
        <v>2023</v>
      </c>
      <c r="Y88" s="5" t="str">
        <f>IFERROR(__xludf.DUMMYFUNCTION("""COMPUTED_VALUE"""),"Nature")</f>
        <v>Nature</v>
      </c>
      <c r="Z88" s="7" t="str">
        <f>IFERROR(__xludf.DUMMYFUNCTION("""COMPUTED_VALUE"""),"10.1038/s41586-023-06062-z")</f>
        <v>10.1038/s41586-023-06062-z</v>
      </c>
      <c r="AA88" s="7" t="str">
        <f>IFERROR(__xludf.DUMMYFUNCTION("""COMPUTED_VALUE"""),"https://www.nature.com/articles/s41586-023-06062-z")</f>
        <v>https://www.nature.com/articles/s41586-023-06062-z</v>
      </c>
      <c r="AB88" s="5"/>
    </row>
    <row r="89">
      <c r="A89" s="5">
        <f>IFERROR(__xludf.DUMMYFUNCTION("""COMPUTED_VALUE"""),100087.0)</f>
        <v>100087</v>
      </c>
      <c r="B89" s="5" t="str">
        <f>IFERROR(__xludf.DUMMYFUNCTION("""COMPUTED_VALUE"""),"LACR-C-4")</f>
        <v>LACR-C-4</v>
      </c>
      <c r="C89" s="5">
        <f>IFERROR(__xludf.DUMMYFUNCTION("""COMPUTED_VALUE"""),22038.0)</f>
        <v>22038</v>
      </c>
      <c r="D89" s="5"/>
      <c r="E89" s="5"/>
      <c r="F89" s="5">
        <f>IFERROR(__xludf.DUMMYFUNCTION("""COMPUTED_VALUE"""),1.0)</f>
        <v>1</v>
      </c>
      <c r="G89" s="5"/>
      <c r="H89" s="5"/>
      <c r="I89" s="5"/>
      <c r="J89" s="5"/>
      <c r="K89" s="5">
        <f>IFERROR(__xludf.DUMMYFUNCTION("""COMPUTED_VALUE"""),43.000155)</f>
        <v>43.000155</v>
      </c>
      <c r="L89" s="5">
        <f>IFERROR(__xludf.DUMMYFUNCTION("""COMPUTED_VALUE"""),1.075624)</f>
        <v>1.075624</v>
      </c>
      <c r="M89" s="5">
        <f>IFERROR(__xludf.DUMMYFUNCTION("""COMPUTED_VALUE"""),493.0)</f>
        <v>493</v>
      </c>
      <c r="N89" s="5">
        <f>IFERROR(__xludf.DUMMYFUNCTION("""COMPUTED_VALUE"""),6.0)</f>
        <v>6</v>
      </c>
      <c r="O89" s="5"/>
      <c r="P89" s="5"/>
      <c r="Q89" s="5" t="str">
        <f>IFERROR(__xludf.DUMMYFUNCTION("""COMPUTED_VALUE"""),"yes")</f>
        <v>yes</v>
      </c>
      <c r="R89" s="5" t="str">
        <f>IFERROR(__xludf.DUMMYFUNCTION("""COMPUTED_VALUE"""),"HiFi")</f>
        <v>HiFi</v>
      </c>
      <c r="S89" s="5" t="str">
        <f>IFERROR(__xludf.DUMMYFUNCTION("""COMPUTED_VALUE"""),"hifiasm_v0.16.1-r375")</f>
        <v>hifiasm_v0.16.1-r375</v>
      </c>
      <c r="T89" s="6" t="str">
        <f>IFERROR(__xludf.DUMMYFUNCTION("""COMPUTED_VALUE"""),"Pool")</f>
        <v>Pool</v>
      </c>
      <c r="U89" s="6">
        <f>IFERROR(__xludf.DUMMYFUNCTION("""COMPUTED_VALUE"""),2024.0)</f>
        <v>2024</v>
      </c>
      <c r="V89" s="6" t="str">
        <f>IFERROR(__xludf.DUMMYFUNCTION("""COMPUTED_VALUE"""),"no")</f>
        <v>no</v>
      </c>
      <c r="W89" s="6" t="str">
        <f>IFERROR(__xludf.DUMMYFUNCTION("""COMPUTED_VALUE"""),"Duflos")</f>
        <v>Duflos</v>
      </c>
      <c r="X89" s="5"/>
      <c r="Y89" s="5" t="str">
        <f>IFERROR(__xludf.DUMMYFUNCTION("""COMPUTED_VALUE"""),"unpublished")</f>
        <v>unpublished</v>
      </c>
      <c r="Z89" s="5"/>
      <c r="AA89" s="5"/>
      <c r="AB89" s="5"/>
    </row>
    <row r="90">
      <c r="A90" s="5">
        <f>IFERROR(__xludf.DUMMYFUNCTION("""COMPUTED_VALUE"""),100088.0)</f>
        <v>100088</v>
      </c>
      <c r="B90" s="5" t="str">
        <f>IFERROR(__xludf.DUMMYFUNCTION("""COMPUTED_VALUE"""),"LANT-B-1")</f>
        <v>LANT-B-1</v>
      </c>
      <c r="C90" s="5">
        <f>IFERROR(__xludf.DUMMYFUNCTION("""COMPUTED_VALUE"""),22039.0)</f>
        <v>22039</v>
      </c>
      <c r="D90" s="5"/>
      <c r="E90" s="5"/>
      <c r="F90" s="5">
        <f>IFERROR(__xludf.DUMMYFUNCTION("""COMPUTED_VALUE"""),1.0)</f>
        <v>1</v>
      </c>
      <c r="G90" s="5"/>
      <c r="H90" s="5"/>
      <c r="I90" s="5"/>
      <c r="J90" s="5"/>
      <c r="K90" s="5">
        <f>IFERROR(__xludf.DUMMYFUNCTION("""COMPUTED_VALUE"""),43.564943)</f>
        <v>43.564943</v>
      </c>
      <c r="L90" s="5">
        <f>IFERROR(__xludf.DUMMYFUNCTION("""COMPUTED_VALUE"""),1.65239)</f>
        <v>1.65239</v>
      </c>
      <c r="M90" s="5">
        <f>IFERROR(__xludf.DUMMYFUNCTION("""COMPUTED_VALUE"""),246.0)</f>
        <v>246</v>
      </c>
      <c r="N90" s="5">
        <f>IFERROR(__xludf.DUMMYFUNCTION("""COMPUTED_VALUE"""),4.0)</f>
        <v>4</v>
      </c>
      <c r="O90" s="5"/>
      <c r="P90" s="5"/>
      <c r="Q90" s="5" t="str">
        <f>IFERROR(__xludf.DUMMYFUNCTION("""COMPUTED_VALUE"""),"yes")</f>
        <v>yes</v>
      </c>
      <c r="R90" s="5" t="str">
        <f>IFERROR(__xludf.DUMMYFUNCTION("""COMPUTED_VALUE"""),"HiFi")</f>
        <v>HiFi</v>
      </c>
      <c r="S90" s="5" t="str">
        <f>IFERROR(__xludf.DUMMYFUNCTION("""COMPUTED_VALUE"""),"hifiasm_v0.16.1-r375")</f>
        <v>hifiasm_v0.16.1-r375</v>
      </c>
      <c r="T90" s="6" t="str">
        <f>IFERROR(__xludf.DUMMYFUNCTION("""COMPUTED_VALUE"""),"Individual")</f>
        <v>Individual</v>
      </c>
      <c r="U90" s="6">
        <f>IFERROR(__xludf.DUMMYFUNCTION("""COMPUTED_VALUE"""),2024.0)</f>
        <v>2024</v>
      </c>
      <c r="V90" s="6" t="str">
        <f>IFERROR(__xludf.DUMMYFUNCTION("""COMPUTED_VALUE"""),"no")</f>
        <v>no</v>
      </c>
      <c r="W90" s="6" t="str">
        <f>IFERROR(__xludf.DUMMYFUNCTION("""COMPUTED_VALUE"""),"Duflos")</f>
        <v>Duflos</v>
      </c>
      <c r="X90" s="5"/>
      <c r="Y90" s="5" t="str">
        <f>IFERROR(__xludf.DUMMYFUNCTION("""COMPUTED_VALUE"""),"unpublished")</f>
        <v>unpublished</v>
      </c>
      <c r="Z90" s="5"/>
      <c r="AA90" s="5"/>
      <c r="AB90" s="5"/>
    </row>
    <row r="91">
      <c r="A91" s="5">
        <f>IFERROR(__xludf.DUMMYFUNCTION("""COMPUTED_VALUE"""),100089.0)</f>
        <v>100089</v>
      </c>
      <c r="B91" s="5" t="str">
        <f>IFERROR(__xludf.DUMMYFUNCTION("""COMPUTED_VALUE"""),"LANT-B-10")</f>
        <v>LANT-B-10</v>
      </c>
      <c r="C91" s="5">
        <f>IFERROR(__xludf.DUMMYFUNCTION("""COMPUTED_VALUE"""),22040.0)</f>
        <v>22040</v>
      </c>
      <c r="D91" s="5"/>
      <c r="E91" s="5"/>
      <c r="F91" s="5">
        <f>IFERROR(__xludf.DUMMYFUNCTION("""COMPUTED_VALUE"""),1.0)</f>
        <v>1</v>
      </c>
      <c r="G91" s="5"/>
      <c r="H91" s="5"/>
      <c r="I91" s="5"/>
      <c r="J91" s="5"/>
      <c r="K91" s="5">
        <f>IFERROR(__xludf.DUMMYFUNCTION("""COMPUTED_VALUE"""),43.564943)</f>
        <v>43.564943</v>
      </c>
      <c r="L91" s="5">
        <f>IFERROR(__xludf.DUMMYFUNCTION("""COMPUTED_VALUE"""),1.65239)</f>
        <v>1.65239</v>
      </c>
      <c r="M91" s="5">
        <f>IFERROR(__xludf.DUMMYFUNCTION("""COMPUTED_VALUE"""),246.0)</f>
        <v>246</v>
      </c>
      <c r="N91" s="5">
        <f>IFERROR(__xludf.DUMMYFUNCTION("""COMPUTED_VALUE"""),5.0)</f>
        <v>5</v>
      </c>
      <c r="O91" s="5"/>
      <c r="P91" s="5"/>
      <c r="Q91" s="5" t="str">
        <f>IFERROR(__xludf.DUMMYFUNCTION("""COMPUTED_VALUE"""),"yes")</f>
        <v>yes</v>
      </c>
      <c r="R91" s="5" t="str">
        <f>IFERROR(__xludf.DUMMYFUNCTION("""COMPUTED_VALUE"""),"HiFi")</f>
        <v>HiFi</v>
      </c>
      <c r="S91" s="5" t="str">
        <f>IFERROR(__xludf.DUMMYFUNCTION("""COMPUTED_VALUE"""),"hifiasm_v0.16.1-r375")</f>
        <v>hifiasm_v0.16.1-r375</v>
      </c>
      <c r="T91" s="6" t="str">
        <f>IFERROR(__xludf.DUMMYFUNCTION("""COMPUTED_VALUE"""),"Individual")</f>
        <v>Individual</v>
      </c>
      <c r="U91" s="6">
        <f>IFERROR(__xludf.DUMMYFUNCTION("""COMPUTED_VALUE"""),2024.0)</f>
        <v>2024</v>
      </c>
      <c r="V91" s="6" t="str">
        <f>IFERROR(__xludf.DUMMYFUNCTION("""COMPUTED_VALUE"""),"no")</f>
        <v>no</v>
      </c>
      <c r="W91" s="6" t="str">
        <f>IFERROR(__xludf.DUMMYFUNCTION("""COMPUTED_VALUE"""),"Duflos")</f>
        <v>Duflos</v>
      </c>
      <c r="X91" s="5"/>
      <c r="Y91" s="5" t="str">
        <f>IFERROR(__xludf.DUMMYFUNCTION("""COMPUTED_VALUE"""),"unpublished")</f>
        <v>unpublished</v>
      </c>
      <c r="Z91" s="5"/>
      <c r="AA91" s="5"/>
      <c r="AB91" s="5"/>
    </row>
    <row r="92">
      <c r="A92" s="5">
        <f>IFERROR(__xludf.DUMMYFUNCTION("""COMPUTED_VALUE"""),100090.0)</f>
        <v>100090</v>
      </c>
      <c r="B92" s="5" t="str">
        <f>IFERROR(__xludf.DUMMYFUNCTION("""COMPUTED_VALUE"""),"LUZE-A-12")</f>
        <v>LUZE-A-12</v>
      </c>
      <c r="C92" s="5">
        <f>IFERROR(__xludf.DUMMYFUNCTION("""COMPUTED_VALUE"""),22041.0)</f>
        <v>22041</v>
      </c>
      <c r="D92" s="5"/>
      <c r="E92" s="5"/>
      <c r="F92" s="5">
        <f>IFERROR(__xludf.DUMMYFUNCTION("""COMPUTED_VALUE"""),1.0)</f>
        <v>1</v>
      </c>
      <c r="G92" s="5"/>
      <c r="H92" s="5"/>
      <c r="I92" s="5"/>
      <c r="J92" s="5"/>
      <c r="K92" s="5">
        <f>IFERROR(__xludf.DUMMYFUNCTION("""COMPUTED_VALUE"""),42.764683)</f>
        <v>42.764683</v>
      </c>
      <c r="L92" s="5">
        <f>IFERROR(__xludf.DUMMYFUNCTION("""COMPUTED_VALUE"""),1.752959)</f>
        <v>1.752959</v>
      </c>
      <c r="M92" s="5">
        <f>IFERROR(__xludf.DUMMYFUNCTION("""COMPUTED_VALUE"""),584.0)</f>
        <v>584</v>
      </c>
      <c r="N92" s="5">
        <f>IFERROR(__xludf.DUMMYFUNCTION("""COMPUTED_VALUE"""),8.0)</f>
        <v>8</v>
      </c>
      <c r="O92" s="5"/>
      <c r="P92" s="5"/>
      <c r="Q92" s="5" t="str">
        <f>IFERROR(__xludf.DUMMYFUNCTION("""COMPUTED_VALUE"""),"no")</f>
        <v>no</v>
      </c>
      <c r="R92" s="5" t="str">
        <f>IFERROR(__xludf.DUMMYFUNCTION("""COMPUTED_VALUE"""),"HiFi")</f>
        <v>HiFi</v>
      </c>
      <c r="S92" s="5" t="str">
        <f>IFERROR(__xludf.DUMMYFUNCTION("""COMPUTED_VALUE"""),"hifiasm_v0.16.1-r375")</f>
        <v>hifiasm_v0.16.1-r375</v>
      </c>
      <c r="T92" s="6" t="str">
        <f>IFERROR(__xludf.DUMMYFUNCTION("""COMPUTED_VALUE"""),"Pool")</f>
        <v>Pool</v>
      </c>
      <c r="U92" s="6">
        <f>IFERROR(__xludf.DUMMYFUNCTION("""COMPUTED_VALUE"""),2024.0)</f>
        <v>2024</v>
      </c>
      <c r="V92" s="6" t="str">
        <f>IFERROR(__xludf.DUMMYFUNCTION("""COMPUTED_VALUE"""),"no")</f>
        <v>no</v>
      </c>
      <c r="W92" s="6" t="str">
        <f>IFERROR(__xludf.DUMMYFUNCTION("""COMPUTED_VALUE"""),"Duflos")</f>
        <v>Duflos</v>
      </c>
      <c r="X92" s="5"/>
      <c r="Y92" s="5" t="str">
        <f>IFERROR(__xludf.DUMMYFUNCTION("""COMPUTED_VALUE"""),"unpublished")</f>
        <v>unpublished</v>
      </c>
      <c r="Z92" s="5"/>
      <c r="AA92" s="5"/>
      <c r="AB92" s="5"/>
    </row>
    <row r="93">
      <c r="A93" s="5">
        <f>IFERROR(__xludf.DUMMYFUNCTION("""COMPUTED_VALUE"""),100091.0)</f>
        <v>100091</v>
      </c>
      <c r="B93" s="5" t="str">
        <f>IFERROR(__xludf.DUMMYFUNCTION("""COMPUTED_VALUE"""),"LUZE-A-14")</f>
        <v>LUZE-A-14</v>
      </c>
      <c r="C93" s="5">
        <f>IFERROR(__xludf.DUMMYFUNCTION("""COMPUTED_VALUE"""),22042.0)</f>
        <v>22042</v>
      </c>
      <c r="D93" s="5"/>
      <c r="E93" s="5"/>
      <c r="F93" s="5">
        <f>IFERROR(__xludf.DUMMYFUNCTION("""COMPUTED_VALUE"""),1.0)</f>
        <v>1</v>
      </c>
      <c r="G93" s="5"/>
      <c r="H93" s="5"/>
      <c r="I93" s="5"/>
      <c r="J93" s="5"/>
      <c r="K93" s="5">
        <f>IFERROR(__xludf.DUMMYFUNCTION("""COMPUTED_VALUE"""),42.764683)</f>
        <v>42.764683</v>
      </c>
      <c r="L93" s="5">
        <f>IFERROR(__xludf.DUMMYFUNCTION("""COMPUTED_VALUE"""),1.752959)</f>
        <v>1.752959</v>
      </c>
      <c r="M93" s="5">
        <f>IFERROR(__xludf.DUMMYFUNCTION("""COMPUTED_VALUE"""),584.0)</f>
        <v>584</v>
      </c>
      <c r="N93" s="5">
        <f>IFERROR(__xludf.DUMMYFUNCTION("""COMPUTED_VALUE"""),11.0)</f>
        <v>11</v>
      </c>
      <c r="O93" s="5"/>
      <c r="P93" s="5"/>
      <c r="Q93" s="5" t="str">
        <f>IFERROR(__xludf.DUMMYFUNCTION("""COMPUTED_VALUE"""),"yes")</f>
        <v>yes</v>
      </c>
      <c r="R93" s="5" t="str">
        <f>IFERROR(__xludf.DUMMYFUNCTION("""COMPUTED_VALUE"""),"HiFi")</f>
        <v>HiFi</v>
      </c>
      <c r="S93" s="5" t="str">
        <f>IFERROR(__xludf.DUMMYFUNCTION("""COMPUTED_VALUE"""),"hifiasm_v0.16.1-r375")</f>
        <v>hifiasm_v0.16.1-r375</v>
      </c>
      <c r="T93" s="6" t="str">
        <f>IFERROR(__xludf.DUMMYFUNCTION("""COMPUTED_VALUE"""),"Pool")</f>
        <v>Pool</v>
      </c>
      <c r="U93" s="6">
        <f>IFERROR(__xludf.DUMMYFUNCTION("""COMPUTED_VALUE"""),2024.0)</f>
        <v>2024</v>
      </c>
      <c r="V93" s="6" t="str">
        <f>IFERROR(__xludf.DUMMYFUNCTION("""COMPUTED_VALUE"""),"no")</f>
        <v>no</v>
      </c>
      <c r="W93" s="6" t="str">
        <f>IFERROR(__xludf.DUMMYFUNCTION("""COMPUTED_VALUE"""),"Duflos")</f>
        <v>Duflos</v>
      </c>
      <c r="X93" s="5"/>
      <c r="Y93" s="5" t="str">
        <f>IFERROR(__xludf.DUMMYFUNCTION("""COMPUTED_VALUE"""),"unpublished")</f>
        <v>unpublished</v>
      </c>
      <c r="Z93" s="5"/>
      <c r="AA93" s="5"/>
      <c r="AB93" s="5"/>
    </row>
    <row r="94">
      <c r="A94" s="5">
        <f>IFERROR(__xludf.DUMMYFUNCTION("""COMPUTED_VALUE"""),100092.0)</f>
        <v>100092</v>
      </c>
      <c r="B94" s="5" t="str">
        <f>IFERROR(__xludf.DUMMYFUNCTION("""COMPUTED_VALUE"""),"MERE-A-13")</f>
        <v>MERE-A-13</v>
      </c>
      <c r="C94" s="5">
        <f>IFERROR(__xludf.DUMMYFUNCTION("""COMPUTED_VALUE"""),22043.0)</f>
        <v>22043</v>
      </c>
      <c r="D94" s="5"/>
      <c r="E94" s="5"/>
      <c r="F94" s="5">
        <f>IFERROR(__xludf.DUMMYFUNCTION("""COMPUTED_VALUE"""),1.0)</f>
        <v>1</v>
      </c>
      <c r="G94" s="5"/>
      <c r="H94" s="5"/>
      <c r="I94" s="5"/>
      <c r="J94" s="5"/>
      <c r="K94" s="5">
        <f>IFERROR(__xludf.DUMMYFUNCTION("""COMPUTED_VALUE"""),42.656618)</f>
        <v>42.656618</v>
      </c>
      <c r="L94" s="5">
        <f>IFERROR(__xludf.DUMMYFUNCTION("""COMPUTED_VALUE"""),1.836221)</f>
        <v>1.836221</v>
      </c>
      <c r="M94" s="5">
        <f>IFERROR(__xludf.DUMMYFUNCTION("""COMPUTED_VALUE"""),1080.0)</f>
        <v>1080</v>
      </c>
      <c r="N94" s="5">
        <f>IFERROR(__xludf.DUMMYFUNCTION("""COMPUTED_VALUE"""),5.0)</f>
        <v>5</v>
      </c>
      <c r="O94" s="5"/>
      <c r="P94" s="5"/>
      <c r="Q94" s="5" t="str">
        <f>IFERROR(__xludf.DUMMYFUNCTION("""COMPUTED_VALUE"""),"yes")</f>
        <v>yes</v>
      </c>
      <c r="R94" s="5" t="str">
        <f>IFERROR(__xludf.DUMMYFUNCTION("""COMPUTED_VALUE"""),"HiFi")</f>
        <v>HiFi</v>
      </c>
      <c r="S94" s="5" t="str">
        <f>IFERROR(__xludf.DUMMYFUNCTION("""COMPUTED_VALUE"""),"hifiasm_v0.16.1-r375")</f>
        <v>hifiasm_v0.16.1-r375</v>
      </c>
      <c r="T94" s="6" t="str">
        <f>IFERROR(__xludf.DUMMYFUNCTION("""COMPUTED_VALUE"""),"Pool")</f>
        <v>Pool</v>
      </c>
      <c r="U94" s="6">
        <f>IFERROR(__xludf.DUMMYFUNCTION("""COMPUTED_VALUE"""),2023.0)</f>
        <v>2023</v>
      </c>
      <c r="V94" s="6" t="str">
        <f>IFERROR(__xludf.DUMMYFUNCTION("""COMPUTED_VALUE"""),"yes")</f>
        <v>yes</v>
      </c>
      <c r="W94" s="6" t="str">
        <f>IFERROR(__xludf.DUMMYFUNCTION("""COMPUTED_VALUE"""),"Wlodzimierz")</f>
        <v>Wlodzimierz</v>
      </c>
      <c r="X94" s="5">
        <f>IFERROR(__xludf.DUMMYFUNCTION("""COMPUTED_VALUE"""),2023.0)</f>
        <v>2023</v>
      </c>
      <c r="Y94" s="5" t="str">
        <f>IFERROR(__xludf.DUMMYFUNCTION("""COMPUTED_VALUE"""),"Nature")</f>
        <v>Nature</v>
      </c>
      <c r="Z94" s="7" t="str">
        <f>IFERROR(__xludf.DUMMYFUNCTION("""COMPUTED_VALUE"""),"10.1038/s41586-023-06062-z")</f>
        <v>10.1038/s41586-023-06062-z</v>
      </c>
      <c r="AA94" s="7" t="str">
        <f>IFERROR(__xludf.DUMMYFUNCTION("""COMPUTED_VALUE"""),"https://www.nature.com/articles/s41586-023-06062-z")</f>
        <v>https://www.nature.com/articles/s41586-023-06062-z</v>
      </c>
      <c r="AB94" s="5"/>
    </row>
    <row r="95">
      <c r="A95" s="5">
        <f>IFERROR(__xludf.DUMMYFUNCTION("""COMPUTED_VALUE"""),100093.0)</f>
        <v>100093</v>
      </c>
      <c r="B95" s="5" t="str">
        <f>IFERROR(__xludf.DUMMYFUNCTION("""COMPUTED_VALUE"""),"MERE-A-7")</f>
        <v>MERE-A-7</v>
      </c>
      <c r="C95" s="5">
        <f>IFERROR(__xludf.DUMMYFUNCTION("""COMPUTED_VALUE"""),22044.0)</f>
        <v>22044</v>
      </c>
      <c r="D95" s="5"/>
      <c r="E95" s="5"/>
      <c r="F95" s="5">
        <f>IFERROR(__xludf.DUMMYFUNCTION("""COMPUTED_VALUE"""),1.0)</f>
        <v>1</v>
      </c>
      <c r="G95" s="5"/>
      <c r="H95" s="5"/>
      <c r="I95" s="5"/>
      <c r="J95" s="5"/>
      <c r="K95" s="5">
        <f>IFERROR(__xludf.DUMMYFUNCTION("""COMPUTED_VALUE"""),42.656618)</f>
        <v>42.656618</v>
      </c>
      <c r="L95" s="5">
        <f>IFERROR(__xludf.DUMMYFUNCTION("""COMPUTED_VALUE"""),1.836221)</f>
        <v>1.836221</v>
      </c>
      <c r="M95" s="5">
        <f>IFERROR(__xludf.DUMMYFUNCTION("""COMPUTED_VALUE"""),1080.0)</f>
        <v>1080</v>
      </c>
      <c r="N95" s="5">
        <f>IFERROR(__xludf.DUMMYFUNCTION("""COMPUTED_VALUE"""),8.0)</f>
        <v>8</v>
      </c>
      <c r="O95" s="5"/>
      <c r="P95" s="5"/>
      <c r="Q95" s="5" t="str">
        <f>IFERROR(__xludf.DUMMYFUNCTION("""COMPUTED_VALUE"""),"yes")</f>
        <v>yes</v>
      </c>
      <c r="R95" s="5" t="str">
        <f>IFERROR(__xludf.DUMMYFUNCTION("""COMPUTED_VALUE"""),"HiFi")</f>
        <v>HiFi</v>
      </c>
      <c r="S95" s="5" t="str">
        <f>IFERROR(__xludf.DUMMYFUNCTION("""COMPUTED_VALUE"""),"hifiasm_v0.16.1-r375")</f>
        <v>hifiasm_v0.16.1-r375</v>
      </c>
      <c r="T95" s="6" t="str">
        <f>IFERROR(__xludf.DUMMYFUNCTION("""COMPUTED_VALUE"""),"Pool")</f>
        <v>Pool</v>
      </c>
      <c r="U95" s="6">
        <f>IFERROR(__xludf.DUMMYFUNCTION("""COMPUTED_VALUE"""),2024.0)</f>
        <v>2024</v>
      </c>
      <c r="V95" s="6" t="str">
        <f>IFERROR(__xludf.DUMMYFUNCTION("""COMPUTED_VALUE"""),"no")</f>
        <v>no</v>
      </c>
      <c r="W95" s="6" t="str">
        <f>IFERROR(__xludf.DUMMYFUNCTION("""COMPUTED_VALUE"""),"Duflos")</f>
        <v>Duflos</v>
      </c>
      <c r="X95" s="5"/>
      <c r="Y95" s="5" t="str">
        <f>IFERROR(__xludf.DUMMYFUNCTION("""COMPUTED_VALUE"""),"unpublished")</f>
        <v>unpublished</v>
      </c>
      <c r="Z95" s="5"/>
      <c r="AA95" s="5"/>
      <c r="AB95" s="5"/>
    </row>
    <row r="96">
      <c r="A96" s="5">
        <f>IFERROR(__xludf.DUMMYFUNCTION("""COMPUTED_VALUE"""),100094.0)</f>
        <v>100094</v>
      </c>
      <c r="B96" s="5" t="str">
        <f>IFERROR(__xludf.DUMMYFUNCTION("""COMPUTED_VALUE"""),"MONF-A-1")</f>
        <v>MONF-A-1</v>
      </c>
      <c r="C96" s="5">
        <f>IFERROR(__xludf.DUMMYFUNCTION("""COMPUTED_VALUE"""),22045.0)</f>
        <v>22045</v>
      </c>
      <c r="D96" s="5"/>
      <c r="E96" s="5"/>
      <c r="F96" s="5">
        <f>IFERROR(__xludf.DUMMYFUNCTION("""COMPUTED_VALUE"""),1.0)</f>
        <v>1</v>
      </c>
      <c r="G96" s="5"/>
      <c r="H96" s="5"/>
      <c r="I96" s="5"/>
      <c r="J96" s="5"/>
      <c r="K96" s="5">
        <f>IFERROR(__xludf.DUMMYFUNCTION("""COMPUTED_VALUE"""),43.616254)</f>
        <v>43.616254</v>
      </c>
      <c r="L96" s="5">
        <f>IFERROR(__xludf.DUMMYFUNCTION("""COMPUTED_VALUE"""),0.972435)</f>
        <v>0.972435</v>
      </c>
      <c r="M96" s="5">
        <f>IFERROR(__xludf.DUMMYFUNCTION("""COMPUTED_VALUE"""),209.0)</f>
        <v>209</v>
      </c>
      <c r="N96" s="5">
        <f>IFERROR(__xludf.DUMMYFUNCTION("""COMPUTED_VALUE"""),6.0)</f>
        <v>6</v>
      </c>
      <c r="O96" s="5"/>
      <c r="P96" s="5"/>
      <c r="Q96" s="5" t="str">
        <f>IFERROR(__xludf.DUMMYFUNCTION("""COMPUTED_VALUE"""),"no")</f>
        <v>no</v>
      </c>
      <c r="R96" s="5" t="str">
        <f>IFERROR(__xludf.DUMMYFUNCTION("""COMPUTED_VALUE"""),"HiFi")</f>
        <v>HiFi</v>
      </c>
      <c r="S96" s="5" t="str">
        <f>IFERROR(__xludf.DUMMYFUNCTION("""COMPUTED_VALUE"""),"hifiasm_v0.16.1-r375")</f>
        <v>hifiasm_v0.16.1-r375</v>
      </c>
      <c r="T96" s="6" t="str">
        <f>IFERROR(__xludf.DUMMYFUNCTION("""COMPUTED_VALUE"""),"Pool")</f>
        <v>Pool</v>
      </c>
      <c r="U96" s="6">
        <f>IFERROR(__xludf.DUMMYFUNCTION("""COMPUTED_VALUE"""),2024.0)</f>
        <v>2024</v>
      </c>
      <c r="V96" s="6" t="str">
        <f>IFERROR(__xludf.DUMMYFUNCTION("""COMPUTED_VALUE"""),"no")</f>
        <v>no</v>
      </c>
      <c r="W96" s="6" t="str">
        <f>IFERROR(__xludf.DUMMYFUNCTION("""COMPUTED_VALUE"""),"Duflos")</f>
        <v>Duflos</v>
      </c>
      <c r="X96" s="5"/>
      <c r="Y96" s="5" t="str">
        <f>IFERROR(__xludf.DUMMYFUNCTION("""COMPUTED_VALUE"""),"unpublished")</f>
        <v>unpublished</v>
      </c>
      <c r="Z96" s="5"/>
      <c r="AA96" s="5"/>
      <c r="AB96" s="5"/>
    </row>
    <row r="97">
      <c r="A97" s="5">
        <f>IFERROR(__xludf.DUMMYFUNCTION("""COMPUTED_VALUE"""),100095.0)</f>
        <v>100095</v>
      </c>
      <c r="B97" s="5" t="str">
        <f>IFERROR(__xludf.DUMMYFUNCTION("""COMPUTED_VALUE"""),"MONF-A-14")</f>
        <v>MONF-A-14</v>
      </c>
      <c r="C97" s="5">
        <f>IFERROR(__xludf.DUMMYFUNCTION("""COMPUTED_VALUE"""),22046.0)</f>
        <v>22046</v>
      </c>
      <c r="D97" s="5"/>
      <c r="E97" s="5"/>
      <c r="F97" s="5">
        <f>IFERROR(__xludf.DUMMYFUNCTION("""COMPUTED_VALUE"""),1.0)</f>
        <v>1</v>
      </c>
      <c r="G97" s="5"/>
      <c r="H97" s="5"/>
      <c r="I97" s="5"/>
      <c r="J97" s="5"/>
      <c r="K97" s="5">
        <f>IFERROR(__xludf.DUMMYFUNCTION("""COMPUTED_VALUE"""),43.616254)</f>
        <v>43.616254</v>
      </c>
      <c r="L97" s="5">
        <f>IFERROR(__xludf.DUMMYFUNCTION("""COMPUTED_VALUE"""),0.972435)</f>
        <v>0.972435</v>
      </c>
      <c r="M97" s="5">
        <f>IFERROR(__xludf.DUMMYFUNCTION("""COMPUTED_VALUE"""),209.0)</f>
        <v>209</v>
      </c>
      <c r="N97" s="5">
        <f>IFERROR(__xludf.DUMMYFUNCTION("""COMPUTED_VALUE"""),9.0)</f>
        <v>9</v>
      </c>
      <c r="O97" s="5"/>
      <c r="P97" s="5"/>
      <c r="Q97" s="5" t="str">
        <f>IFERROR(__xludf.DUMMYFUNCTION("""COMPUTED_VALUE"""),"yes")</f>
        <v>yes</v>
      </c>
      <c r="R97" s="5" t="str">
        <f>IFERROR(__xludf.DUMMYFUNCTION("""COMPUTED_VALUE"""),"HiFi")</f>
        <v>HiFi</v>
      </c>
      <c r="S97" s="5" t="str">
        <f>IFERROR(__xludf.DUMMYFUNCTION("""COMPUTED_VALUE"""),"hifiasm_v0.16.1-r375")</f>
        <v>hifiasm_v0.16.1-r375</v>
      </c>
      <c r="T97" s="6" t="str">
        <f>IFERROR(__xludf.DUMMYFUNCTION("""COMPUTED_VALUE"""),"Pool")</f>
        <v>Pool</v>
      </c>
      <c r="U97" s="6">
        <f>IFERROR(__xludf.DUMMYFUNCTION("""COMPUTED_VALUE"""),2024.0)</f>
        <v>2024</v>
      </c>
      <c r="V97" s="6" t="str">
        <f>IFERROR(__xludf.DUMMYFUNCTION("""COMPUTED_VALUE"""),"no")</f>
        <v>no</v>
      </c>
      <c r="W97" s="6" t="str">
        <f>IFERROR(__xludf.DUMMYFUNCTION("""COMPUTED_VALUE"""),"Duflos")</f>
        <v>Duflos</v>
      </c>
      <c r="X97" s="5"/>
      <c r="Y97" s="5" t="str">
        <f>IFERROR(__xludf.DUMMYFUNCTION("""COMPUTED_VALUE"""),"unpublished")</f>
        <v>unpublished</v>
      </c>
      <c r="Z97" s="5"/>
      <c r="AA97" s="5"/>
      <c r="AB97" s="5"/>
    </row>
    <row r="98">
      <c r="A98" s="5">
        <f>IFERROR(__xludf.DUMMYFUNCTION("""COMPUTED_VALUE"""),100096.0)</f>
        <v>100096</v>
      </c>
      <c r="B98" s="5" t="str">
        <f>IFERROR(__xludf.DUMMYFUNCTION("""COMPUTED_VALUE"""),"MONT-B-12")</f>
        <v>MONT-B-12</v>
      </c>
      <c r="C98" s="5">
        <f>IFERROR(__xludf.DUMMYFUNCTION("""COMPUTED_VALUE"""),22047.0)</f>
        <v>22047</v>
      </c>
      <c r="D98" s="5"/>
      <c r="E98" s="5"/>
      <c r="F98" s="5">
        <f>IFERROR(__xludf.DUMMYFUNCTION("""COMPUTED_VALUE"""),1.0)</f>
        <v>1</v>
      </c>
      <c r="G98" s="5"/>
      <c r="H98" s="5"/>
      <c r="I98" s="5"/>
      <c r="J98" s="5"/>
      <c r="K98" s="5">
        <f>IFERROR(__xludf.DUMMYFUNCTION("""COMPUTED_VALUE"""),43.852723)</f>
        <v>43.852723</v>
      </c>
      <c r="L98" s="5">
        <f>IFERROR(__xludf.DUMMYFUNCTION("""COMPUTED_VALUE"""),1.873536)</f>
        <v>1.873536</v>
      </c>
      <c r="M98" s="5">
        <f>IFERROR(__xludf.DUMMYFUNCTION("""COMPUTED_VALUE"""),156.0)</f>
        <v>156</v>
      </c>
      <c r="N98" s="5">
        <f>IFERROR(__xludf.DUMMYFUNCTION("""COMPUTED_VALUE"""),10.0)</f>
        <v>10</v>
      </c>
      <c r="O98" s="5"/>
      <c r="P98" s="5"/>
      <c r="Q98" s="5" t="str">
        <f>IFERROR(__xludf.DUMMYFUNCTION("""COMPUTED_VALUE"""),"yes")</f>
        <v>yes</v>
      </c>
      <c r="R98" s="5" t="str">
        <f>IFERROR(__xludf.DUMMYFUNCTION("""COMPUTED_VALUE"""),"HiFi")</f>
        <v>HiFi</v>
      </c>
      <c r="S98" s="5" t="str">
        <f>IFERROR(__xludf.DUMMYFUNCTION("""COMPUTED_VALUE"""),"hifiasm_v0.16.1-r375")</f>
        <v>hifiasm_v0.16.1-r375</v>
      </c>
      <c r="T98" s="6" t="str">
        <f>IFERROR(__xludf.DUMMYFUNCTION("""COMPUTED_VALUE"""),"Pool")</f>
        <v>Pool</v>
      </c>
      <c r="U98" s="6">
        <f>IFERROR(__xludf.DUMMYFUNCTION("""COMPUTED_VALUE"""),2024.0)</f>
        <v>2024</v>
      </c>
      <c r="V98" s="6" t="str">
        <f>IFERROR(__xludf.DUMMYFUNCTION("""COMPUTED_VALUE"""),"no")</f>
        <v>no</v>
      </c>
      <c r="W98" s="6" t="str">
        <f>IFERROR(__xludf.DUMMYFUNCTION("""COMPUTED_VALUE"""),"Duflos")</f>
        <v>Duflos</v>
      </c>
      <c r="X98" s="5"/>
      <c r="Y98" s="5" t="str">
        <f>IFERROR(__xludf.DUMMYFUNCTION("""COMPUTED_VALUE"""),"unpublished")</f>
        <v>unpublished</v>
      </c>
      <c r="Z98" s="5"/>
      <c r="AA98" s="5"/>
      <c r="AB98" s="5"/>
    </row>
    <row r="99">
      <c r="A99" s="5">
        <f>IFERROR(__xludf.DUMMYFUNCTION("""COMPUTED_VALUE"""),100097.0)</f>
        <v>100097</v>
      </c>
      <c r="B99" s="5" t="str">
        <f>IFERROR(__xludf.DUMMYFUNCTION("""COMPUTED_VALUE"""),"MONT-B-14")</f>
        <v>MONT-B-14</v>
      </c>
      <c r="C99" s="5">
        <f>IFERROR(__xludf.DUMMYFUNCTION("""COMPUTED_VALUE"""),22048.0)</f>
        <v>22048</v>
      </c>
      <c r="D99" s="5"/>
      <c r="E99" s="5"/>
      <c r="F99" s="5">
        <f>IFERROR(__xludf.DUMMYFUNCTION("""COMPUTED_VALUE"""),1.0)</f>
        <v>1</v>
      </c>
      <c r="G99" s="5"/>
      <c r="H99" s="5"/>
      <c r="I99" s="5"/>
      <c r="J99" s="5"/>
      <c r="K99" s="5">
        <f>IFERROR(__xludf.DUMMYFUNCTION("""COMPUTED_VALUE"""),43.852723)</f>
        <v>43.852723</v>
      </c>
      <c r="L99" s="5">
        <f>IFERROR(__xludf.DUMMYFUNCTION("""COMPUTED_VALUE"""),1.873536)</f>
        <v>1.873536</v>
      </c>
      <c r="M99" s="5">
        <f>IFERROR(__xludf.DUMMYFUNCTION("""COMPUTED_VALUE"""),156.0)</f>
        <v>156</v>
      </c>
      <c r="N99" s="5">
        <f>IFERROR(__xludf.DUMMYFUNCTION("""COMPUTED_VALUE"""),5.0)</f>
        <v>5</v>
      </c>
      <c r="O99" s="5"/>
      <c r="P99" s="5"/>
      <c r="Q99" s="5" t="str">
        <f>IFERROR(__xludf.DUMMYFUNCTION("""COMPUTED_VALUE"""),"yes")</f>
        <v>yes</v>
      </c>
      <c r="R99" s="5" t="str">
        <f>IFERROR(__xludf.DUMMYFUNCTION("""COMPUTED_VALUE"""),"HiFi")</f>
        <v>HiFi</v>
      </c>
      <c r="S99" s="5" t="str">
        <f>IFERROR(__xludf.DUMMYFUNCTION("""COMPUTED_VALUE"""),"hifiasm_v0.16.1-r375")</f>
        <v>hifiasm_v0.16.1-r375</v>
      </c>
      <c r="T99" s="6" t="str">
        <f>IFERROR(__xludf.DUMMYFUNCTION("""COMPUTED_VALUE"""),"Pool")</f>
        <v>Pool</v>
      </c>
      <c r="U99" s="6">
        <f>IFERROR(__xludf.DUMMYFUNCTION("""COMPUTED_VALUE"""),2024.0)</f>
        <v>2024</v>
      </c>
      <c r="V99" s="6" t="str">
        <f>IFERROR(__xludf.DUMMYFUNCTION("""COMPUTED_VALUE"""),"no")</f>
        <v>no</v>
      </c>
      <c r="W99" s="6" t="str">
        <f>IFERROR(__xludf.DUMMYFUNCTION("""COMPUTED_VALUE"""),"Duflos")</f>
        <v>Duflos</v>
      </c>
      <c r="X99" s="5"/>
      <c r="Y99" s="5" t="str">
        <f>IFERROR(__xludf.DUMMYFUNCTION("""COMPUTED_VALUE"""),"unpublished")</f>
        <v>unpublished</v>
      </c>
      <c r="Z99" s="5"/>
      <c r="AA99" s="5"/>
      <c r="AB99" s="5"/>
    </row>
    <row r="100">
      <c r="A100" s="5">
        <f>IFERROR(__xludf.DUMMYFUNCTION("""COMPUTED_VALUE"""),100098.0)</f>
        <v>100098</v>
      </c>
      <c r="B100" s="5" t="str">
        <f>IFERROR(__xludf.DUMMYFUNCTION("""COMPUTED_VALUE"""),"MONTM-B-16")</f>
        <v>MONTM-B-16</v>
      </c>
      <c r="C100" s="5">
        <f>IFERROR(__xludf.DUMMYFUNCTION("""COMPUTED_VALUE"""),22049.0)</f>
        <v>22049</v>
      </c>
      <c r="D100" s="5"/>
      <c r="E100" s="5"/>
      <c r="F100" s="5">
        <f>IFERROR(__xludf.DUMMYFUNCTION("""COMPUTED_VALUE"""),1.0)</f>
        <v>1</v>
      </c>
      <c r="G100" s="5"/>
      <c r="H100" s="5"/>
      <c r="I100" s="5"/>
      <c r="J100" s="5"/>
      <c r="K100" s="5">
        <f>IFERROR(__xludf.DUMMYFUNCTION("""COMPUTED_VALUE"""),42.861218)</f>
        <v>42.861218</v>
      </c>
      <c r="L100" s="5">
        <f>IFERROR(__xludf.DUMMYFUNCTION("""COMPUTED_VALUE"""),0.596869)</f>
        <v>0.596869</v>
      </c>
      <c r="M100" s="5">
        <f>IFERROR(__xludf.DUMMYFUNCTION("""COMPUTED_VALUE"""),774.0)</f>
        <v>774</v>
      </c>
      <c r="N100" s="5">
        <f>IFERROR(__xludf.DUMMYFUNCTION("""COMPUTED_VALUE"""),16.0)</f>
        <v>16</v>
      </c>
      <c r="O100" s="5"/>
      <c r="P100" s="5"/>
      <c r="Q100" s="5" t="str">
        <f>IFERROR(__xludf.DUMMYFUNCTION("""COMPUTED_VALUE"""),"no")</f>
        <v>no</v>
      </c>
      <c r="R100" s="5" t="str">
        <f>IFERROR(__xludf.DUMMYFUNCTION("""COMPUTED_VALUE"""),"HiFi")</f>
        <v>HiFi</v>
      </c>
      <c r="S100" s="5" t="str">
        <f>IFERROR(__xludf.DUMMYFUNCTION("""COMPUTED_VALUE"""),"hifiasm_v0.16.1-r375")</f>
        <v>hifiasm_v0.16.1-r375</v>
      </c>
      <c r="T100" s="6" t="str">
        <f>IFERROR(__xludf.DUMMYFUNCTION("""COMPUTED_VALUE"""),"Pool")</f>
        <v>Pool</v>
      </c>
      <c r="U100" s="6">
        <f>IFERROR(__xludf.DUMMYFUNCTION("""COMPUTED_VALUE"""),2023.0)</f>
        <v>2023</v>
      </c>
      <c r="V100" s="6" t="str">
        <f>IFERROR(__xludf.DUMMYFUNCTION("""COMPUTED_VALUE"""),"yes")</f>
        <v>yes</v>
      </c>
      <c r="W100" s="6" t="str">
        <f>IFERROR(__xludf.DUMMYFUNCTION("""COMPUTED_VALUE"""),"Wlodzimierz")</f>
        <v>Wlodzimierz</v>
      </c>
      <c r="X100" s="5">
        <f>IFERROR(__xludf.DUMMYFUNCTION("""COMPUTED_VALUE"""),2023.0)</f>
        <v>2023</v>
      </c>
      <c r="Y100" s="5" t="str">
        <f>IFERROR(__xludf.DUMMYFUNCTION("""COMPUTED_VALUE"""),"Nature")</f>
        <v>Nature</v>
      </c>
      <c r="Z100" s="7" t="str">
        <f>IFERROR(__xludf.DUMMYFUNCTION("""COMPUTED_VALUE"""),"10.1038/s41586-023-06062-z")</f>
        <v>10.1038/s41586-023-06062-z</v>
      </c>
      <c r="AA100" s="7" t="str">
        <f>IFERROR(__xludf.DUMMYFUNCTION("""COMPUTED_VALUE"""),"https://www.nature.com/articles/s41586-023-06062-z")</f>
        <v>https://www.nature.com/articles/s41586-023-06062-z</v>
      </c>
      <c r="AB100" s="5"/>
    </row>
    <row r="101">
      <c r="A101" s="5">
        <f>IFERROR(__xludf.DUMMYFUNCTION("""COMPUTED_VALUE"""),100099.0)</f>
        <v>100099</v>
      </c>
      <c r="B101" s="5" t="str">
        <f>IFERROR(__xludf.DUMMYFUNCTION("""COMPUTED_VALUE"""),"MONTM-B-7")</f>
        <v>MONTM-B-7</v>
      </c>
      <c r="C101" s="5">
        <f>IFERROR(__xludf.DUMMYFUNCTION("""COMPUTED_VALUE"""),22050.0)</f>
        <v>22050</v>
      </c>
      <c r="D101" s="5"/>
      <c r="E101" s="5"/>
      <c r="F101" s="5">
        <f>IFERROR(__xludf.DUMMYFUNCTION("""COMPUTED_VALUE"""),1.0)</f>
        <v>1</v>
      </c>
      <c r="G101" s="5"/>
      <c r="H101" s="5"/>
      <c r="I101" s="5"/>
      <c r="J101" s="5"/>
      <c r="K101" s="5">
        <f>IFERROR(__xludf.DUMMYFUNCTION("""COMPUTED_VALUE"""),42.861218)</f>
        <v>42.861218</v>
      </c>
      <c r="L101" s="5">
        <f>IFERROR(__xludf.DUMMYFUNCTION("""COMPUTED_VALUE"""),0.596869)</f>
        <v>0.596869</v>
      </c>
      <c r="M101" s="5">
        <f>IFERROR(__xludf.DUMMYFUNCTION("""COMPUTED_VALUE"""),774.0)</f>
        <v>774</v>
      </c>
      <c r="N101" s="5">
        <f>IFERROR(__xludf.DUMMYFUNCTION("""COMPUTED_VALUE"""),2.0)</f>
        <v>2</v>
      </c>
      <c r="O101" s="5"/>
      <c r="P101" s="5"/>
      <c r="Q101" s="5" t="str">
        <f>IFERROR(__xludf.DUMMYFUNCTION("""COMPUTED_VALUE"""),"yes")</f>
        <v>yes</v>
      </c>
      <c r="R101" s="5" t="str">
        <f>IFERROR(__xludf.DUMMYFUNCTION("""COMPUTED_VALUE"""),"HiFi")</f>
        <v>HiFi</v>
      </c>
      <c r="S101" s="5" t="str">
        <f>IFERROR(__xludf.DUMMYFUNCTION("""COMPUTED_VALUE"""),"hifiasm_v0.16.1-r375")</f>
        <v>hifiasm_v0.16.1-r375</v>
      </c>
      <c r="T101" s="6" t="str">
        <f>IFERROR(__xludf.DUMMYFUNCTION("""COMPUTED_VALUE"""),"Pool")</f>
        <v>Pool</v>
      </c>
      <c r="U101" s="6">
        <f>IFERROR(__xludf.DUMMYFUNCTION("""COMPUTED_VALUE"""),2023.0)</f>
        <v>2023</v>
      </c>
      <c r="V101" s="6" t="str">
        <f>IFERROR(__xludf.DUMMYFUNCTION("""COMPUTED_VALUE"""),"yes")</f>
        <v>yes</v>
      </c>
      <c r="W101" s="6" t="str">
        <f>IFERROR(__xludf.DUMMYFUNCTION("""COMPUTED_VALUE"""),"Wlodzimierz")</f>
        <v>Wlodzimierz</v>
      </c>
      <c r="X101" s="5">
        <f>IFERROR(__xludf.DUMMYFUNCTION("""COMPUTED_VALUE"""),2023.0)</f>
        <v>2023</v>
      </c>
      <c r="Y101" s="5" t="str">
        <f>IFERROR(__xludf.DUMMYFUNCTION("""COMPUTED_VALUE"""),"Nature")</f>
        <v>Nature</v>
      </c>
      <c r="Z101" s="7" t="str">
        <f>IFERROR(__xludf.DUMMYFUNCTION("""COMPUTED_VALUE"""),"10.1038/s41586-023-06062-z")</f>
        <v>10.1038/s41586-023-06062-z</v>
      </c>
      <c r="AA101" s="7" t="str">
        <f>IFERROR(__xludf.DUMMYFUNCTION("""COMPUTED_VALUE"""),"https://www.nature.com/articles/s41586-023-06062-z")</f>
        <v>https://www.nature.com/articles/s41586-023-06062-z</v>
      </c>
      <c r="AB101" s="5"/>
    </row>
    <row r="102">
      <c r="A102" s="5">
        <f>IFERROR(__xludf.DUMMYFUNCTION("""COMPUTED_VALUE"""),100100.0)</f>
        <v>100100</v>
      </c>
      <c r="B102" s="5" t="str">
        <f>IFERROR(__xludf.DUMMYFUNCTION("""COMPUTED_VALUE"""),"NAUV-B-14")</f>
        <v>NAUV-B-14</v>
      </c>
      <c r="C102" s="5">
        <f>IFERROR(__xludf.DUMMYFUNCTION("""COMPUTED_VALUE"""),22051.0)</f>
        <v>22051</v>
      </c>
      <c r="D102" s="5"/>
      <c r="E102" s="5"/>
      <c r="F102" s="5">
        <f>IFERROR(__xludf.DUMMYFUNCTION("""COMPUTED_VALUE"""),1.0)</f>
        <v>1</v>
      </c>
      <c r="G102" s="5"/>
      <c r="H102" s="5"/>
      <c r="I102" s="5"/>
      <c r="J102" s="5"/>
      <c r="K102" s="5">
        <f>IFERROR(__xludf.DUMMYFUNCTION("""COMPUTED_VALUE"""),44.520418)</f>
        <v>44.520418</v>
      </c>
      <c r="L102" s="5">
        <f>IFERROR(__xludf.DUMMYFUNCTION("""COMPUTED_VALUE"""),2.427129)</f>
        <v>2.427129</v>
      </c>
      <c r="M102" s="5">
        <f>IFERROR(__xludf.DUMMYFUNCTION("""COMPUTED_VALUE"""),257.0)</f>
        <v>257</v>
      </c>
      <c r="N102" s="5">
        <f>IFERROR(__xludf.DUMMYFUNCTION("""COMPUTED_VALUE"""),14.0)</f>
        <v>14</v>
      </c>
      <c r="O102" s="5"/>
      <c r="P102" s="5"/>
      <c r="Q102" s="5" t="str">
        <f>IFERROR(__xludf.DUMMYFUNCTION("""COMPUTED_VALUE"""),"no")</f>
        <v>no</v>
      </c>
      <c r="R102" s="5" t="str">
        <f>IFERROR(__xludf.DUMMYFUNCTION("""COMPUTED_VALUE"""),"HiFi")</f>
        <v>HiFi</v>
      </c>
      <c r="S102" s="5" t="str">
        <f>IFERROR(__xludf.DUMMYFUNCTION("""COMPUTED_VALUE"""),"hifiasm_v0.16.1-r375")</f>
        <v>hifiasm_v0.16.1-r375</v>
      </c>
      <c r="T102" s="6" t="str">
        <f>IFERROR(__xludf.DUMMYFUNCTION("""COMPUTED_VALUE"""),"Pool")</f>
        <v>Pool</v>
      </c>
      <c r="U102" s="6">
        <f>IFERROR(__xludf.DUMMYFUNCTION("""COMPUTED_VALUE"""),2024.0)</f>
        <v>2024</v>
      </c>
      <c r="V102" s="6" t="str">
        <f>IFERROR(__xludf.DUMMYFUNCTION("""COMPUTED_VALUE"""),"no")</f>
        <v>no</v>
      </c>
      <c r="W102" s="6" t="str">
        <f>IFERROR(__xludf.DUMMYFUNCTION("""COMPUTED_VALUE"""),"Duflos")</f>
        <v>Duflos</v>
      </c>
      <c r="X102" s="5"/>
      <c r="Y102" s="5" t="str">
        <f>IFERROR(__xludf.DUMMYFUNCTION("""COMPUTED_VALUE"""),"unpublished")</f>
        <v>unpublished</v>
      </c>
      <c r="Z102" s="5"/>
      <c r="AA102" s="5"/>
      <c r="AB102" s="5"/>
    </row>
    <row r="103">
      <c r="A103" s="5">
        <f>IFERROR(__xludf.DUMMYFUNCTION("""COMPUTED_VALUE"""),100101.0)</f>
        <v>100101</v>
      </c>
      <c r="B103" s="5" t="str">
        <f>IFERROR(__xludf.DUMMYFUNCTION("""COMPUTED_VALUE"""),"NAUV-B-7")</f>
        <v>NAUV-B-7</v>
      </c>
      <c r="C103" s="5">
        <f>IFERROR(__xludf.DUMMYFUNCTION("""COMPUTED_VALUE"""),22052.0)</f>
        <v>22052</v>
      </c>
      <c r="D103" s="5"/>
      <c r="E103" s="5"/>
      <c r="F103" s="5">
        <f>IFERROR(__xludf.DUMMYFUNCTION("""COMPUTED_VALUE"""),1.0)</f>
        <v>1</v>
      </c>
      <c r="G103" s="5"/>
      <c r="H103" s="5"/>
      <c r="I103" s="5"/>
      <c r="J103" s="5"/>
      <c r="K103" s="5">
        <f>IFERROR(__xludf.DUMMYFUNCTION("""COMPUTED_VALUE"""),44.520418)</f>
        <v>44.520418</v>
      </c>
      <c r="L103" s="5">
        <f>IFERROR(__xludf.DUMMYFUNCTION("""COMPUTED_VALUE"""),2.427129)</f>
        <v>2.427129</v>
      </c>
      <c r="M103" s="5">
        <f>IFERROR(__xludf.DUMMYFUNCTION("""COMPUTED_VALUE"""),257.0)</f>
        <v>257</v>
      </c>
      <c r="N103" s="5">
        <f>IFERROR(__xludf.DUMMYFUNCTION("""COMPUTED_VALUE"""),12.0)</f>
        <v>12</v>
      </c>
      <c r="O103" s="5"/>
      <c r="P103" s="5"/>
      <c r="Q103" s="5" t="str">
        <f>IFERROR(__xludf.DUMMYFUNCTION("""COMPUTED_VALUE"""),"yes")</f>
        <v>yes</v>
      </c>
      <c r="R103" s="5" t="str">
        <f>IFERROR(__xludf.DUMMYFUNCTION("""COMPUTED_VALUE"""),"HiFi")</f>
        <v>HiFi</v>
      </c>
      <c r="S103" s="5" t="str">
        <f>IFERROR(__xludf.DUMMYFUNCTION("""COMPUTED_VALUE"""),"hifiasm_v0.16.1-r375")</f>
        <v>hifiasm_v0.16.1-r375</v>
      </c>
      <c r="T103" s="6" t="str">
        <f>IFERROR(__xludf.DUMMYFUNCTION("""COMPUTED_VALUE"""),"Pool")</f>
        <v>Pool</v>
      </c>
      <c r="U103" s="6">
        <f>IFERROR(__xludf.DUMMYFUNCTION("""COMPUTED_VALUE"""),2024.0)</f>
        <v>2024</v>
      </c>
      <c r="V103" s="6" t="str">
        <f>IFERROR(__xludf.DUMMYFUNCTION("""COMPUTED_VALUE"""),"no")</f>
        <v>no</v>
      </c>
      <c r="W103" s="6" t="str">
        <f>IFERROR(__xludf.DUMMYFUNCTION("""COMPUTED_VALUE"""),"Duflos")</f>
        <v>Duflos</v>
      </c>
      <c r="X103" s="5"/>
      <c r="Y103" s="5" t="str">
        <f>IFERROR(__xludf.DUMMYFUNCTION("""COMPUTED_VALUE"""),"unpublished")</f>
        <v>unpublished</v>
      </c>
      <c r="Z103" s="5"/>
      <c r="AA103" s="5"/>
      <c r="AB103" s="5"/>
    </row>
    <row r="104">
      <c r="A104" s="5">
        <f>IFERROR(__xludf.DUMMYFUNCTION("""COMPUTED_VALUE"""),100102.0)</f>
        <v>100102</v>
      </c>
      <c r="B104" s="5" t="str">
        <f>IFERROR(__xludf.DUMMYFUNCTION("""COMPUTED_VALUE"""),"PREI-A-14")</f>
        <v>PREI-A-14</v>
      </c>
      <c r="C104" s="5">
        <f>IFERROR(__xludf.DUMMYFUNCTION("""COMPUTED_VALUE"""),22053.0)</f>
        <v>22053</v>
      </c>
      <c r="D104" s="5"/>
      <c r="E104" s="5"/>
      <c r="F104" s="5">
        <f>IFERROR(__xludf.DUMMYFUNCTION("""COMPUTED_VALUE"""),1.0)</f>
        <v>1</v>
      </c>
      <c r="G104" s="5"/>
      <c r="H104" s="5"/>
      <c r="I104" s="5"/>
      <c r="J104" s="5"/>
      <c r="K104" s="5">
        <f>IFERROR(__xludf.DUMMYFUNCTION("""COMPUTED_VALUE"""),43.717856)</f>
        <v>43.717856</v>
      </c>
      <c r="L104" s="5">
        <f>IFERROR(__xludf.DUMMYFUNCTION("""COMPUTED_VALUE"""),0.623298)</f>
        <v>0.623298</v>
      </c>
      <c r="M104" s="5">
        <f>IFERROR(__xludf.DUMMYFUNCTION("""COMPUTED_VALUE"""),120.0)</f>
        <v>120</v>
      </c>
      <c r="N104" s="5">
        <f>IFERROR(__xludf.DUMMYFUNCTION("""COMPUTED_VALUE"""),9.0)</f>
        <v>9</v>
      </c>
      <c r="O104" s="5"/>
      <c r="P104" s="5"/>
      <c r="Q104" s="5" t="str">
        <f>IFERROR(__xludf.DUMMYFUNCTION("""COMPUTED_VALUE"""),"yes")</f>
        <v>yes</v>
      </c>
      <c r="R104" s="5" t="str">
        <f>IFERROR(__xludf.DUMMYFUNCTION("""COMPUTED_VALUE"""),"HiFi")</f>
        <v>HiFi</v>
      </c>
      <c r="S104" s="5" t="str">
        <f>IFERROR(__xludf.DUMMYFUNCTION("""COMPUTED_VALUE"""),"hifiasm_v0.16.1-r375")</f>
        <v>hifiasm_v0.16.1-r375</v>
      </c>
      <c r="T104" s="6" t="str">
        <f>IFERROR(__xludf.DUMMYFUNCTION("""COMPUTED_VALUE"""),"Pool")</f>
        <v>Pool</v>
      </c>
      <c r="U104" s="6">
        <f>IFERROR(__xludf.DUMMYFUNCTION("""COMPUTED_VALUE"""),2023.0)</f>
        <v>2023</v>
      </c>
      <c r="V104" s="6" t="str">
        <f>IFERROR(__xludf.DUMMYFUNCTION("""COMPUTED_VALUE"""),"yes")</f>
        <v>yes</v>
      </c>
      <c r="W104" s="6" t="str">
        <f>IFERROR(__xludf.DUMMYFUNCTION("""COMPUTED_VALUE"""),"Wlodzimierz")</f>
        <v>Wlodzimierz</v>
      </c>
      <c r="X104" s="5">
        <f>IFERROR(__xludf.DUMMYFUNCTION("""COMPUTED_VALUE"""),2023.0)</f>
        <v>2023</v>
      </c>
      <c r="Y104" s="5" t="str">
        <f>IFERROR(__xludf.DUMMYFUNCTION("""COMPUTED_VALUE"""),"Nature")</f>
        <v>Nature</v>
      </c>
      <c r="Z104" s="7" t="str">
        <f>IFERROR(__xludf.DUMMYFUNCTION("""COMPUTED_VALUE"""),"10.1038/s41586-023-06062-z")</f>
        <v>10.1038/s41586-023-06062-z</v>
      </c>
      <c r="AA104" s="7" t="str">
        <f>IFERROR(__xludf.DUMMYFUNCTION("""COMPUTED_VALUE"""),"https://www.nature.com/articles/s41586-023-06062-z")</f>
        <v>https://www.nature.com/articles/s41586-023-06062-z</v>
      </c>
      <c r="AB104" s="5"/>
    </row>
    <row r="105">
      <c r="A105" s="5">
        <f>IFERROR(__xludf.DUMMYFUNCTION("""COMPUTED_VALUE"""),100103.0)</f>
        <v>100103</v>
      </c>
      <c r="B105" s="5" t="str">
        <f>IFERROR(__xludf.DUMMYFUNCTION("""COMPUTED_VALUE"""),"PREI-A-9")</f>
        <v>PREI-A-9</v>
      </c>
      <c r="C105" s="5">
        <f>IFERROR(__xludf.DUMMYFUNCTION("""COMPUTED_VALUE"""),22054.0)</f>
        <v>22054</v>
      </c>
      <c r="D105" s="5"/>
      <c r="E105" s="5"/>
      <c r="F105" s="5">
        <f>IFERROR(__xludf.DUMMYFUNCTION("""COMPUTED_VALUE"""),1.0)</f>
        <v>1</v>
      </c>
      <c r="G105" s="5"/>
      <c r="H105" s="5"/>
      <c r="I105" s="5"/>
      <c r="J105" s="5"/>
      <c r="K105" s="5">
        <f>IFERROR(__xludf.DUMMYFUNCTION("""COMPUTED_VALUE"""),43.717856)</f>
        <v>43.717856</v>
      </c>
      <c r="L105" s="5">
        <f>IFERROR(__xludf.DUMMYFUNCTION("""COMPUTED_VALUE"""),0.623298)</f>
        <v>0.623298</v>
      </c>
      <c r="M105" s="5">
        <f>IFERROR(__xludf.DUMMYFUNCTION("""COMPUTED_VALUE"""),120.0)</f>
        <v>120</v>
      </c>
      <c r="N105" s="5">
        <f>IFERROR(__xludf.DUMMYFUNCTION("""COMPUTED_VALUE"""),9.0)</f>
        <v>9</v>
      </c>
      <c r="O105" s="5"/>
      <c r="P105" s="5"/>
      <c r="Q105" s="5" t="str">
        <f>IFERROR(__xludf.DUMMYFUNCTION("""COMPUTED_VALUE"""),"yes")</f>
        <v>yes</v>
      </c>
      <c r="R105" s="5" t="str">
        <f>IFERROR(__xludf.DUMMYFUNCTION("""COMPUTED_VALUE"""),"HiFi")</f>
        <v>HiFi</v>
      </c>
      <c r="S105" s="5" t="str">
        <f>IFERROR(__xludf.DUMMYFUNCTION("""COMPUTED_VALUE"""),"hifiasm_v0.16.1-r375")</f>
        <v>hifiasm_v0.16.1-r375</v>
      </c>
      <c r="T105" s="6" t="str">
        <f>IFERROR(__xludf.DUMMYFUNCTION("""COMPUTED_VALUE"""),"Pool")</f>
        <v>Pool</v>
      </c>
      <c r="U105" s="6">
        <f>IFERROR(__xludf.DUMMYFUNCTION("""COMPUTED_VALUE"""),2024.0)</f>
        <v>2024</v>
      </c>
      <c r="V105" s="6" t="str">
        <f>IFERROR(__xludf.DUMMYFUNCTION("""COMPUTED_VALUE"""),"no")</f>
        <v>no</v>
      </c>
      <c r="W105" s="6" t="str">
        <f>IFERROR(__xludf.DUMMYFUNCTION("""COMPUTED_VALUE"""),"Duflos")</f>
        <v>Duflos</v>
      </c>
      <c r="X105" s="5"/>
      <c r="Y105" s="5" t="str">
        <f>IFERROR(__xludf.DUMMYFUNCTION("""COMPUTED_VALUE"""),"unpublished")</f>
        <v>unpublished</v>
      </c>
      <c r="Z105" s="5"/>
      <c r="AA105" s="5"/>
      <c r="AB105" s="5"/>
    </row>
    <row r="106">
      <c r="A106" s="5">
        <f>IFERROR(__xludf.DUMMYFUNCTION("""COMPUTED_VALUE"""),100104.0)</f>
        <v>100104</v>
      </c>
      <c r="B106" s="5" t="str">
        <f>IFERROR(__xludf.DUMMYFUNCTION("""COMPUTED_VALUE"""),"RAYR-A-17")</f>
        <v>RAYR-A-17</v>
      </c>
      <c r="C106" s="5">
        <f>IFERROR(__xludf.DUMMYFUNCTION("""COMPUTED_VALUE"""),22055.0)</f>
        <v>22055</v>
      </c>
      <c r="D106" s="5"/>
      <c r="E106" s="5"/>
      <c r="F106" s="5">
        <f>IFERROR(__xludf.DUMMYFUNCTION("""COMPUTED_VALUE"""),1.0)</f>
        <v>1</v>
      </c>
      <c r="G106" s="5"/>
      <c r="H106" s="5"/>
      <c r="I106" s="5"/>
      <c r="J106" s="5"/>
      <c r="K106" s="5">
        <f>IFERROR(__xludf.DUMMYFUNCTION("""COMPUTED_VALUE"""),44.196005)</f>
        <v>44.196005</v>
      </c>
      <c r="L106" s="5">
        <f>IFERROR(__xludf.DUMMYFUNCTION("""COMPUTED_VALUE"""),2.493157)</f>
        <v>2.493157</v>
      </c>
      <c r="M106" s="5">
        <f>IFERROR(__xludf.DUMMYFUNCTION("""COMPUTED_VALUE"""),555.0)</f>
        <v>555</v>
      </c>
      <c r="N106" s="5">
        <f>IFERROR(__xludf.DUMMYFUNCTION("""COMPUTED_VALUE"""),15.0)</f>
        <v>15</v>
      </c>
      <c r="O106" s="5"/>
      <c r="P106" s="5"/>
      <c r="Q106" s="5" t="str">
        <f>IFERROR(__xludf.DUMMYFUNCTION("""COMPUTED_VALUE"""),"yes")</f>
        <v>yes</v>
      </c>
      <c r="R106" s="5" t="str">
        <f>IFERROR(__xludf.DUMMYFUNCTION("""COMPUTED_VALUE"""),"HiFi")</f>
        <v>HiFi</v>
      </c>
      <c r="S106" s="5" t="str">
        <f>IFERROR(__xludf.DUMMYFUNCTION("""COMPUTED_VALUE"""),"hifiasm_v0.16.1-r375")</f>
        <v>hifiasm_v0.16.1-r375</v>
      </c>
      <c r="T106" s="6" t="str">
        <f>IFERROR(__xludf.DUMMYFUNCTION("""COMPUTED_VALUE"""),"Pool")</f>
        <v>Pool</v>
      </c>
      <c r="U106" s="6">
        <f>IFERROR(__xludf.DUMMYFUNCTION("""COMPUTED_VALUE"""),2024.0)</f>
        <v>2024</v>
      </c>
      <c r="V106" s="6" t="str">
        <f>IFERROR(__xludf.DUMMYFUNCTION("""COMPUTED_VALUE"""),"no")</f>
        <v>no</v>
      </c>
      <c r="W106" s="6" t="str">
        <f>IFERROR(__xludf.DUMMYFUNCTION("""COMPUTED_VALUE"""),"Duflos")</f>
        <v>Duflos</v>
      </c>
      <c r="X106" s="5"/>
      <c r="Y106" s="5" t="str">
        <f>IFERROR(__xludf.DUMMYFUNCTION("""COMPUTED_VALUE"""),"unpublished")</f>
        <v>unpublished</v>
      </c>
      <c r="Z106" s="5"/>
      <c r="AA106" s="5"/>
      <c r="AB106" s="5"/>
    </row>
    <row r="107">
      <c r="A107" s="5">
        <f>IFERROR(__xludf.DUMMYFUNCTION("""COMPUTED_VALUE"""),100105.0)</f>
        <v>100105</v>
      </c>
      <c r="B107" s="5" t="str">
        <f>IFERROR(__xludf.DUMMYFUNCTION("""COMPUTED_VALUE"""),"RAYR-A-9")</f>
        <v>RAYR-A-9</v>
      </c>
      <c r="C107" s="5">
        <f>IFERROR(__xludf.DUMMYFUNCTION("""COMPUTED_VALUE"""),22056.0)</f>
        <v>22056</v>
      </c>
      <c r="D107" s="5"/>
      <c r="E107" s="5"/>
      <c r="F107" s="5">
        <f>IFERROR(__xludf.DUMMYFUNCTION("""COMPUTED_VALUE"""),1.0)</f>
        <v>1</v>
      </c>
      <c r="G107" s="5"/>
      <c r="H107" s="5"/>
      <c r="I107" s="5"/>
      <c r="J107" s="5"/>
      <c r="K107" s="5">
        <f>IFERROR(__xludf.DUMMYFUNCTION("""COMPUTED_VALUE"""),44.196005)</f>
        <v>44.196005</v>
      </c>
      <c r="L107" s="5">
        <f>IFERROR(__xludf.DUMMYFUNCTION("""COMPUTED_VALUE"""),2.493157)</f>
        <v>2.493157</v>
      </c>
      <c r="M107" s="5">
        <f>IFERROR(__xludf.DUMMYFUNCTION("""COMPUTED_VALUE"""),555.0)</f>
        <v>555</v>
      </c>
      <c r="N107" s="5">
        <f>IFERROR(__xludf.DUMMYFUNCTION("""COMPUTED_VALUE"""),13.0)</f>
        <v>13</v>
      </c>
      <c r="O107" s="5"/>
      <c r="P107" s="5"/>
      <c r="Q107" s="5" t="str">
        <f>IFERROR(__xludf.DUMMYFUNCTION("""COMPUTED_VALUE"""),"yes")</f>
        <v>yes</v>
      </c>
      <c r="R107" s="5" t="str">
        <f>IFERROR(__xludf.DUMMYFUNCTION("""COMPUTED_VALUE"""),"HiFi")</f>
        <v>HiFi</v>
      </c>
      <c r="S107" s="5" t="str">
        <f>IFERROR(__xludf.DUMMYFUNCTION("""COMPUTED_VALUE"""),"hifiasm_v0.16.1-r375")</f>
        <v>hifiasm_v0.16.1-r375</v>
      </c>
      <c r="T107" s="6" t="str">
        <f>IFERROR(__xludf.DUMMYFUNCTION("""COMPUTED_VALUE"""),"Pool")</f>
        <v>Pool</v>
      </c>
      <c r="U107" s="6">
        <f>IFERROR(__xludf.DUMMYFUNCTION("""COMPUTED_VALUE"""),2024.0)</f>
        <v>2024</v>
      </c>
      <c r="V107" s="6" t="str">
        <f>IFERROR(__xludf.DUMMYFUNCTION("""COMPUTED_VALUE"""),"no")</f>
        <v>no</v>
      </c>
      <c r="W107" s="6" t="str">
        <f>IFERROR(__xludf.DUMMYFUNCTION("""COMPUTED_VALUE"""),"Duflos")</f>
        <v>Duflos</v>
      </c>
      <c r="X107" s="5"/>
      <c r="Y107" s="5" t="str">
        <f>IFERROR(__xludf.DUMMYFUNCTION("""COMPUTED_VALUE"""),"unpublished")</f>
        <v>unpublished</v>
      </c>
      <c r="Z107" s="5"/>
      <c r="AA107" s="5"/>
      <c r="AB107" s="5"/>
    </row>
    <row r="108">
      <c r="A108" s="5">
        <f>IFERROR(__xludf.DUMMYFUNCTION("""COMPUTED_VALUE"""),100106.0)</f>
        <v>100106</v>
      </c>
      <c r="B108" s="5" t="str">
        <f>IFERROR(__xludf.DUMMYFUNCTION("""COMPUTED_VALUE"""),"SALE-A-10")</f>
        <v>SALE-A-10</v>
      </c>
      <c r="C108" s="5">
        <f>IFERROR(__xludf.DUMMYFUNCTION("""COMPUTED_VALUE"""),22057.0)</f>
        <v>22057</v>
      </c>
      <c r="D108" s="5"/>
      <c r="E108" s="5"/>
      <c r="F108" s="5">
        <f>IFERROR(__xludf.DUMMYFUNCTION("""COMPUTED_VALUE"""),1.0)</f>
        <v>1</v>
      </c>
      <c r="G108" s="5"/>
      <c r="H108" s="5"/>
      <c r="I108" s="5"/>
      <c r="J108" s="5"/>
      <c r="K108" s="5">
        <f>IFERROR(__xludf.DUMMYFUNCTION("""COMPUTED_VALUE"""),43.024966)</f>
        <v>43.024966</v>
      </c>
      <c r="L108" s="5">
        <f>IFERROR(__xludf.DUMMYFUNCTION("""COMPUTED_VALUE"""),0.965965)</f>
        <v>0.965965</v>
      </c>
      <c r="M108" s="5">
        <f>IFERROR(__xludf.DUMMYFUNCTION("""COMPUTED_VALUE"""),413.0)</f>
        <v>413</v>
      </c>
      <c r="N108" s="5">
        <f>IFERROR(__xludf.DUMMYFUNCTION("""COMPUTED_VALUE"""),3.0)</f>
        <v>3</v>
      </c>
      <c r="O108" s="5"/>
      <c r="P108" s="5"/>
      <c r="Q108" s="5" t="str">
        <f>IFERROR(__xludf.DUMMYFUNCTION("""COMPUTED_VALUE"""),"yes")</f>
        <v>yes</v>
      </c>
      <c r="R108" s="5" t="str">
        <f>IFERROR(__xludf.DUMMYFUNCTION("""COMPUTED_VALUE"""),"HiFi")</f>
        <v>HiFi</v>
      </c>
      <c r="S108" s="5" t="str">
        <f>IFERROR(__xludf.DUMMYFUNCTION("""COMPUTED_VALUE"""),"hifiasm_v0.16.1-r375")</f>
        <v>hifiasm_v0.16.1-r375</v>
      </c>
      <c r="T108" s="6" t="str">
        <f>IFERROR(__xludf.DUMMYFUNCTION("""COMPUTED_VALUE"""),"Pool")</f>
        <v>Pool</v>
      </c>
      <c r="U108" s="6">
        <f>IFERROR(__xludf.DUMMYFUNCTION("""COMPUTED_VALUE"""),2023.0)</f>
        <v>2023</v>
      </c>
      <c r="V108" s="6" t="str">
        <f>IFERROR(__xludf.DUMMYFUNCTION("""COMPUTED_VALUE"""),"yes")</f>
        <v>yes</v>
      </c>
      <c r="W108" s="6" t="str">
        <f>IFERROR(__xludf.DUMMYFUNCTION("""COMPUTED_VALUE"""),"Wlodzimierz")</f>
        <v>Wlodzimierz</v>
      </c>
      <c r="X108" s="5">
        <f>IFERROR(__xludf.DUMMYFUNCTION("""COMPUTED_VALUE"""),2023.0)</f>
        <v>2023</v>
      </c>
      <c r="Y108" s="5" t="str">
        <f>IFERROR(__xludf.DUMMYFUNCTION("""COMPUTED_VALUE"""),"Nature")</f>
        <v>Nature</v>
      </c>
      <c r="Z108" s="7" t="str">
        <f>IFERROR(__xludf.DUMMYFUNCTION("""COMPUTED_VALUE"""),"10.1038/s41586-023-06062-z")</f>
        <v>10.1038/s41586-023-06062-z</v>
      </c>
      <c r="AA108" s="7" t="str">
        <f>IFERROR(__xludf.DUMMYFUNCTION("""COMPUTED_VALUE"""),"https://www.nature.com/articles/s41586-023-06062-z")</f>
        <v>https://www.nature.com/articles/s41586-023-06062-z</v>
      </c>
      <c r="AB108" s="5"/>
    </row>
    <row r="109">
      <c r="A109" s="5">
        <f>IFERROR(__xludf.DUMMYFUNCTION("""COMPUTED_VALUE"""),100107.0)</f>
        <v>100107</v>
      </c>
      <c r="B109" s="5" t="str">
        <f>IFERROR(__xludf.DUMMYFUNCTION("""COMPUTED_VALUE"""),"SALE-A-17")</f>
        <v>SALE-A-17</v>
      </c>
      <c r="C109" s="5">
        <f>IFERROR(__xludf.DUMMYFUNCTION("""COMPUTED_VALUE"""),22058.0)</f>
        <v>22058</v>
      </c>
      <c r="D109" s="5"/>
      <c r="E109" s="5"/>
      <c r="F109" s="5">
        <f>IFERROR(__xludf.DUMMYFUNCTION("""COMPUTED_VALUE"""),1.0)</f>
        <v>1</v>
      </c>
      <c r="G109" s="5"/>
      <c r="H109" s="5"/>
      <c r="I109" s="5"/>
      <c r="J109" s="5"/>
      <c r="K109" s="5">
        <f>IFERROR(__xludf.DUMMYFUNCTION("""COMPUTED_VALUE"""),43.024966)</f>
        <v>43.024966</v>
      </c>
      <c r="L109" s="5">
        <f>IFERROR(__xludf.DUMMYFUNCTION("""COMPUTED_VALUE"""),0.965965)</f>
        <v>0.965965</v>
      </c>
      <c r="M109" s="5">
        <f>IFERROR(__xludf.DUMMYFUNCTION("""COMPUTED_VALUE"""),413.0)</f>
        <v>413</v>
      </c>
      <c r="N109" s="5">
        <f>IFERROR(__xludf.DUMMYFUNCTION("""COMPUTED_VALUE"""),10.0)</f>
        <v>10</v>
      </c>
      <c r="O109" s="5"/>
      <c r="P109" s="5"/>
      <c r="Q109" s="5" t="str">
        <f>IFERROR(__xludf.DUMMYFUNCTION("""COMPUTED_VALUE"""),"yes")</f>
        <v>yes</v>
      </c>
      <c r="R109" s="5" t="str">
        <f>IFERROR(__xludf.DUMMYFUNCTION("""COMPUTED_VALUE"""),"HiFi")</f>
        <v>HiFi</v>
      </c>
      <c r="S109" s="5" t="str">
        <f>IFERROR(__xludf.DUMMYFUNCTION("""COMPUTED_VALUE"""),"hifiasm_v0.16.1-r375")</f>
        <v>hifiasm_v0.16.1-r375</v>
      </c>
      <c r="T109" s="6" t="str">
        <f>IFERROR(__xludf.DUMMYFUNCTION("""COMPUTED_VALUE"""),"Pool")</f>
        <v>Pool</v>
      </c>
      <c r="U109" s="6">
        <f>IFERROR(__xludf.DUMMYFUNCTION("""COMPUTED_VALUE"""),2023.0)</f>
        <v>2023</v>
      </c>
      <c r="V109" s="6" t="str">
        <f>IFERROR(__xludf.DUMMYFUNCTION("""COMPUTED_VALUE"""),"yes")</f>
        <v>yes</v>
      </c>
      <c r="W109" s="6" t="str">
        <f>IFERROR(__xludf.DUMMYFUNCTION("""COMPUTED_VALUE"""),"Wlodzimierz")</f>
        <v>Wlodzimierz</v>
      </c>
      <c r="X109" s="5">
        <f>IFERROR(__xludf.DUMMYFUNCTION("""COMPUTED_VALUE"""),2023.0)</f>
        <v>2023</v>
      </c>
      <c r="Y109" s="5" t="str">
        <f>IFERROR(__xludf.DUMMYFUNCTION("""COMPUTED_VALUE"""),"Nature")</f>
        <v>Nature</v>
      </c>
      <c r="Z109" s="7" t="str">
        <f>IFERROR(__xludf.DUMMYFUNCTION("""COMPUTED_VALUE"""),"10.1038/s41586-023-06062-z")</f>
        <v>10.1038/s41586-023-06062-z</v>
      </c>
      <c r="AA109" s="7" t="str">
        <f>IFERROR(__xludf.DUMMYFUNCTION("""COMPUTED_VALUE"""),"https://www.nature.com/articles/s41586-023-06062-z")</f>
        <v>https://www.nature.com/articles/s41586-023-06062-z</v>
      </c>
      <c r="AB109" s="5"/>
    </row>
    <row r="110">
      <c r="A110" s="5">
        <f>IFERROR(__xludf.DUMMYFUNCTION("""COMPUTED_VALUE"""),100108.0)</f>
        <v>100108</v>
      </c>
      <c r="B110" s="5" t="str">
        <f>IFERROR(__xludf.DUMMYFUNCTION("""COMPUTED_VALUE"""),"IP-Alo-0")</f>
        <v>IP-Alo-0</v>
      </c>
      <c r="C110" s="5">
        <f>IFERROR(__xludf.DUMMYFUNCTION("""COMPUTED_VALUE"""),9506.0)</f>
        <v>9506</v>
      </c>
      <c r="D110" s="5"/>
      <c r="E110" s="5"/>
      <c r="F110" s="5">
        <f>IFERROR(__xludf.DUMMYFUNCTION("""COMPUTED_VALUE"""),1.0)</f>
        <v>1</v>
      </c>
      <c r="G110" s="5"/>
      <c r="H110" s="5"/>
      <c r="I110" s="5"/>
      <c r="J110" s="5" t="str">
        <f>IFERROR(__xludf.DUMMYFUNCTION("""COMPUTED_VALUE"""),"CS76662")</f>
        <v>CS76662</v>
      </c>
      <c r="K110" s="5">
        <f>IFERROR(__xludf.DUMMYFUNCTION("""COMPUTED_VALUE"""),40.109691)</f>
        <v>40.109691</v>
      </c>
      <c r="L110" s="5">
        <f>IFERROR(__xludf.DUMMYFUNCTION("""COMPUTED_VALUE"""),-7.476146)</f>
        <v>-7.476146</v>
      </c>
      <c r="M110" s="5">
        <f>IFERROR(__xludf.DUMMYFUNCTION("""COMPUTED_VALUE"""),763.0)</f>
        <v>763</v>
      </c>
      <c r="N110" s="5">
        <f>IFERROR(__xludf.DUMMYFUNCTION("""COMPUTED_VALUE"""),6.0)</f>
        <v>6</v>
      </c>
      <c r="O110" s="5"/>
      <c r="P110" s="5"/>
      <c r="Q110" s="5" t="str">
        <f>IFERROR(__xludf.DUMMYFUNCTION("""COMPUTED_VALUE"""),"yes")</f>
        <v>yes</v>
      </c>
      <c r="R110" s="5" t="str">
        <f>IFERROR(__xludf.DUMMYFUNCTION("""COMPUTED_VALUE"""),"HiFi")</f>
        <v>HiFi</v>
      </c>
      <c r="S110" s="5" t="str">
        <f>IFERROR(__xludf.DUMMYFUNCTION("""COMPUTED_VALUE"""),"hifiasm_v0.16.1-r375")</f>
        <v>hifiasm_v0.16.1-r375</v>
      </c>
      <c r="T110" s="6" t="str">
        <f>IFERROR(__xludf.DUMMYFUNCTION("""COMPUTED_VALUE"""),"Individual")</f>
        <v>Individual</v>
      </c>
      <c r="U110" s="6">
        <f>IFERROR(__xludf.DUMMYFUNCTION("""COMPUTED_VALUE"""),2023.0)</f>
        <v>2023</v>
      </c>
      <c r="V110" s="6" t="str">
        <f>IFERROR(__xludf.DUMMYFUNCTION("""COMPUTED_VALUE"""),"yes")</f>
        <v>yes</v>
      </c>
      <c r="W110" s="6" t="str">
        <f>IFERROR(__xludf.DUMMYFUNCTION("""COMPUTED_VALUE"""),"Wlodzimierz")</f>
        <v>Wlodzimierz</v>
      </c>
      <c r="X110" s="5">
        <f>IFERROR(__xludf.DUMMYFUNCTION("""COMPUTED_VALUE"""),2023.0)</f>
        <v>2023</v>
      </c>
      <c r="Y110" s="5" t="str">
        <f>IFERROR(__xludf.DUMMYFUNCTION("""COMPUTED_VALUE"""),"Nature")</f>
        <v>Nature</v>
      </c>
      <c r="Z110" s="7" t="str">
        <f>IFERROR(__xludf.DUMMYFUNCTION("""COMPUTED_VALUE"""),"10.1038/s41586-023-06062-z")</f>
        <v>10.1038/s41586-023-06062-z</v>
      </c>
      <c r="AA110" s="7" t="str">
        <f>IFERROR(__xludf.DUMMYFUNCTION("""COMPUTED_VALUE"""),"https://www.nature.com/articles/s41586-023-06062-z")</f>
        <v>https://www.nature.com/articles/s41586-023-06062-z</v>
      </c>
      <c r="AB110" s="5"/>
    </row>
    <row r="111">
      <c r="A111" s="5">
        <f>IFERROR(__xludf.DUMMYFUNCTION("""COMPUTED_VALUE"""),100109.0)</f>
        <v>100109</v>
      </c>
      <c r="B111" s="5" t="str">
        <f>IFERROR(__xludf.DUMMYFUNCTION("""COMPUTED_VALUE"""),"IP-Alo-19")</f>
        <v>IP-Alo-19</v>
      </c>
      <c r="C111" s="5">
        <f>IFERROR(__xludf.DUMMYFUNCTION("""COMPUTED_VALUE"""),22059.0)</f>
        <v>22059</v>
      </c>
      <c r="D111" s="5"/>
      <c r="E111" s="5"/>
      <c r="F111" s="5">
        <f>IFERROR(__xludf.DUMMYFUNCTION("""COMPUTED_VALUE"""),1.0)</f>
        <v>1</v>
      </c>
      <c r="G111" s="5"/>
      <c r="H111" s="5"/>
      <c r="I111" s="5"/>
      <c r="J111" s="5"/>
      <c r="K111" s="5">
        <f>IFERROR(__xludf.DUMMYFUNCTION("""COMPUTED_VALUE"""),40.109691)</f>
        <v>40.109691</v>
      </c>
      <c r="L111" s="5">
        <f>IFERROR(__xludf.DUMMYFUNCTION("""COMPUTED_VALUE"""),-7.476146)</f>
        <v>-7.476146</v>
      </c>
      <c r="M111" s="5">
        <f>IFERROR(__xludf.DUMMYFUNCTION("""COMPUTED_VALUE"""),763.0)</f>
        <v>763</v>
      </c>
      <c r="N111" s="5">
        <f>IFERROR(__xludf.DUMMYFUNCTION("""COMPUTED_VALUE"""),8.0)</f>
        <v>8</v>
      </c>
      <c r="O111" s="5"/>
      <c r="P111" s="5"/>
      <c r="Q111" s="5" t="str">
        <f>IFERROR(__xludf.DUMMYFUNCTION("""COMPUTED_VALUE"""),"yes")</f>
        <v>yes</v>
      </c>
      <c r="R111" s="5" t="str">
        <f>IFERROR(__xludf.DUMMYFUNCTION("""COMPUTED_VALUE"""),"HiFi")</f>
        <v>HiFi</v>
      </c>
      <c r="S111" s="5" t="str">
        <f>IFERROR(__xludf.DUMMYFUNCTION("""COMPUTED_VALUE"""),"hifiasm_v0.16.1-r375")</f>
        <v>hifiasm_v0.16.1-r375</v>
      </c>
      <c r="T111" s="6" t="str">
        <f>IFERROR(__xludf.DUMMYFUNCTION("""COMPUTED_VALUE"""),"Individual")</f>
        <v>Individual</v>
      </c>
      <c r="U111" s="6">
        <f>IFERROR(__xludf.DUMMYFUNCTION("""COMPUTED_VALUE"""),2023.0)</f>
        <v>2023</v>
      </c>
      <c r="V111" s="6" t="str">
        <f>IFERROR(__xludf.DUMMYFUNCTION("""COMPUTED_VALUE"""),"yes")</f>
        <v>yes</v>
      </c>
      <c r="W111" s="6" t="str">
        <f>IFERROR(__xludf.DUMMYFUNCTION("""COMPUTED_VALUE"""),"Wlodzimierz")</f>
        <v>Wlodzimierz</v>
      </c>
      <c r="X111" s="5">
        <f>IFERROR(__xludf.DUMMYFUNCTION("""COMPUTED_VALUE"""),2023.0)</f>
        <v>2023</v>
      </c>
      <c r="Y111" s="5" t="str">
        <f>IFERROR(__xludf.DUMMYFUNCTION("""COMPUTED_VALUE"""),"Nature")</f>
        <v>Nature</v>
      </c>
      <c r="Z111" s="7" t="str">
        <f>IFERROR(__xludf.DUMMYFUNCTION("""COMPUTED_VALUE"""),"10.1038/s41586-023-06062-z")</f>
        <v>10.1038/s41586-023-06062-z</v>
      </c>
      <c r="AA111" s="7" t="str">
        <f>IFERROR(__xludf.DUMMYFUNCTION("""COMPUTED_VALUE"""),"https://www.nature.com/articles/s41586-023-06062-z")</f>
        <v>https://www.nature.com/articles/s41586-023-06062-z</v>
      </c>
      <c r="AB111" s="5"/>
    </row>
    <row r="112">
      <c r="A112" s="5">
        <f>IFERROR(__xludf.DUMMYFUNCTION("""COMPUTED_VALUE"""),100110.0)</f>
        <v>100110</v>
      </c>
      <c r="B112" s="5" t="str">
        <f>IFERROR(__xludf.DUMMYFUNCTION("""COMPUTED_VALUE"""),"IP-Cas-0")</f>
        <v>IP-Cas-0</v>
      </c>
      <c r="C112" s="5">
        <f>IFERROR(__xludf.DUMMYFUNCTION("""COMPUTED_VALUE"""),9831.0)</f>
        <v>9831</v>
      </c>
      <c r="D112" s="5"/>
      <c r="E112" s="5"/>
      <c r="F112" s="5">
        <f>IFERROR(__xludf.DUMMYFUNCTION("""COMPUTED_VALUE"""),1.0)</f>
        <v>1</v>
      </c>
      <c r="G112" s="5"/>
      <c r="H112" s="5"/>
      <c r="I112" s="5"/>
      <c r="J112" s="5" t="str">
        <f>IFERROR(__xludf.DUMMYFUNCTION("""COMPUTED_VALUE"""),"CS76743")</f>
        <v>CS76743</v>
      </c>
      <c r="K112" s="5">
        <f>IFERROR(__xludf.DUMMYFUNCTION("""COMPUTED_VALUE"""),38.534077)</f>
        <v>38.534077</v>
      </c>
      <c r="L112" s="5">
        <f>IFERROR(__xludf.DUMMYFUNCTION("""COMPUTED_VALUE"""),-3.39072)</f>
        <v>-3.39072</v>
      </c>
      <c r="M112" s="5">
        <f>IFERROR(__xludf.DUMMYFUNCTION("""COMPUTED_VALUE"""),811.0)</f>
        <v>811</v>
      </c>
      <c r="N112" s="5">
        <f>IFERROR(__xludf.DUMMYFUNCTION("""COMPUTED_VALUE"""),9.0)</f>
        <v>9</v>
      </c>
      <c r="O112" s="5"/>
      <c r="P112" s="5"/>
      <c r="Q112" s="5" t="str">
        <f>IFERROR(__xludf.DUMMYFUNCTION("""COMPUTED_VALUE"""),"yes")</f>
        <v>yes</v>
      </c>
      <c r="R112" s="5" t="str">
        <f>IFERROR(__xludf.DUMMYFUNCTION("""COMPUTED_VALUE"""),"HiFi")</f>
        <v>HiFi</v>
      </c>
      <c r="S112" s="5" t="str">
        <f>IFERROR(__xludf.DUMMYFUNCTION("""COMPUTED_VALUE"""),"hifiasm_v0.16.1-r375")</f>
        <v>hifiasm_v0.16.1-r375</v>
      </c>
      <c r="T112" s="6" t="str">
        <f>IFERROR(__xludf.DUMMYFUNCTION("""COMPUTED_VALUE"""),"Individual")</f>
        <v>Individual</v>
      </c>
      <c r="U112" s="6">
        <f>IFERROR(__xludf.DUMMYFUNCTION("""COMPUTED_VALUE"""),2023.0)</f>
        <v>2023</v>
      </c>
      <c r="V112" s="6" t="str">
        <f>IFERROR(__xludf.DUMMYFUNCTION("""COMPUTED_VALUE"""),"yes")</f>
        <v>yes</v>
      </c>
      <c r="W112" s="6" t="str">
        <f>IFERROR(__xludf.DUMMYFUNCTION("""COMPUTED_VALUE"""),"Wlodzimierz")</f>
        <v>Wlodzimierz</v>
      </c>
      <c r="X112" s="5">
        <f>IFERROR(__xludf.DUMMYFUNCTION("""COMPUTED_VALUE"""),2023.0)</f>
        <v>2023</v>
      </c>
      <c r="Y112" s="5" t="str">
        <f>IFERROR(__xludf.DUMMYFUNCTION("""COMPUTED_VALUE"""),"Nature")</f>
        <v>Nature</v>
      </c>
      <c r="Z112" s="7" t="str">
        <f>IFERROR(__xludf.DUMMYFUNCTION("""COMPUTED_VALUE"""),"10.1038/s41586-023-06062-z")</f>
        <v>10.1038/s41586-023-06062-z</v>
      </c>
      <c r="AA112" s="7" t="str">
        <f>IFERROR(__xludf.DUMMYFUNCTION("""COMPUTED_VALUE"""),"https://www.nature.com/articles/s41586-023-06062-z")</f>
        <v>https://www.nature.com/articles/s41586-023-06062-z</v>
      </c>
      <c r="AB112" s="5"/>
    </row>
    <row r="113">
      <c r="A113" s="5">
        <f>IFERROR(__xludf.DUMMYFUNCTION("""COMPUTED_VALUE"""),100111.0)</f>
        <v>100111</v>
      </c>
      <c r="B113" s="5" t="str">
        <f>IFERROR(__xludf.DUMMYFUNCTION("""COMPUTED_VALUE"""),"IP-Cas-6")</f>
        <v>IP-Cas-6</v>
      </c>
      <c r="C113" s="5">
        <f>IFERROR(__xludf.DUMMYFUNCTION("""COMPUTED_VALUE"""),22060.0)</f>
        <v>22060</v>
      </c>
      <c r="D113" s="5"/>
      <c r="E113" s="5"/>
      <c r="F113" s="5">
        <f>IFERROR(__xludf.DUMMYFUNCTION("""COMPUTED_VALUE"""),1.0)</f>
        <v>1</v>
      </c>
      <c r="G113" s="5"/>
      <c r="H113" s="5"/>
      <c r="I113" s="5"/>
      <c r="J113" s="5"/>
      <c r="K113" s="5">
        <f>IFERROR(__xludf.DUMMYFUNCTION("""COMPUTED_VALUE"""),38.534077)</f>
        <v>38.534077</v>
      </c>
      <c r="L113" s="5">
        <f>IFERROR(__xludf.DUMMYFUNCTION("""COMPUTED_VALUE"""),-3.39072)</f>
        <v>-3.39072</v>
      </c>
      <c r="M113" s="5">
        <f>IFERROR(__xludf.DUMMYFUNCTION("""COMPUTED_VALUE"""),811.0)</f>
        <v>811</v>
      </c>
      <c r="N113" s="5">
        <f>IFERROR(__xludf.DUMMYFUNCTION("""COMPUTED_VALUE"""),5.0)</f>
        <v>5</v>
      </c>
      <c r="O113" s="5"/>
      <c r="P113" s="5"/>
      <c r="Q113" s="5" t="str">
        <f>IFERROR(__xludf.DUMMYFUNCTION("""COMPUTED_VALUE"""),"yes")</f>
        <v>yes</v>
      </c>
      <c r="R113" s="5" t="str">
        <f>IFERROR(__xludf.DUMMYFUNCTION("""COMPUTED_VALUE"""),"HiFi")</f>
        <v>HiFi</v>
      </c>
      <c r="S113" s="5" t="str">
        <f>IFERROR(__xludf.DUMMYFUNCTION("""COMPUTED_VALUE"""),"hifiasm_v0.16.1-r375")</f>
        <v>hifiasm_v0.16.1-r375</v>
      </c>
      <c r="T113" s="6" t="str">
        <f>IFERROR(__xludf.DUMMYFUNCTION("""COMPUTED_VALUE"""),"Individual")</f>
        <v>Individual</v>
      </c>
      <c r="U113" s="6">
        <f>IFERROR(__xludf.DUMMYFUNCTION("""COMPUTED_VALUE"""),2023.0)</f>
        <v>2023</v>
      </c>
      <c r="V113" s="6" t="str">
        <f>IFERROR(__xludf.DUMMYFUNCTION("""COMPUTED_VALUE"""),"yes")</f>
        <v>yes</v>
      </c>
      <c r="W113" s="6" t="str">
        <f>IFERROR(__xludf.DUMMYFUNCTION("""COMPUTED_VALUE"""),"Wlodzimierz")</f>
        <v>Wlodzimierz</v>
      </c>
      <c r="X113" s="5">
        <f>IFERROR(__xludf.DUMMYFUNCTION("""COMPUTED_VALUE"""),2023.0)</f>
        <v>2023</v>
      </c>
      <c r="Y113" s="5" t="str">
        <f>IFERROR(__xludf.DUMMYFUNCTION("""COMPUTED_VALUE"""),"Nature")</f>
        <v>Nature</v>
      </c>
      <c r="Z113" s="7" t="str">
        <f>IFERROR(__xludf.DUMMYFUNCTION("""COMPUTED_VALUE"""),"10.1038/s41586-023-06062-z")</f>
        <v>10.1038/s41586-023-06062-z</v>
      </c>
      <c r="AA113" s="7" t="str">
        <f>IFERROR(__xludf.DUMMYFUNCTION("""COMPUTED_VALUE"""),"https://www.nature.com/articles/s41586-023-06062-z")</f>
        <v>https://www.nature.com/articles/s41586-023-06062-z</v>
      </c>
      <c r="AB113" s="5"/>
    </row>
    <row r="114">
      <c r="A114" s="5">
        <f>IFERROR(__xludf.DUMMYFUNCTION("""COMPUTED_VALUE"""),100112.0)</f>
        <v>100112</v>
      </c>
      <c r="B114" s="5" t="str">
        <f>IFERROR(__xludf.DUMMYFUNCTION("""COMPUTED_VALUE"""),"IP-Cat-0")</f>
        <v>IP-Cat-0</v>
      </c>
      <c r="C114" s="5">
        <f>IFERROR(__xludf.DUMMYFUNCTION("""COMPUTED_VALUE"""),9832.0)</f>
        <v>9832</v>
      </c>
      <c r="D114" s="5"/>
      <c r="E114" s="5">
        <f>IFERROR(__xludf.DUMMYFUNCTION("""COMPUTED_VALUE"""),100112.0)</f>
        <v>100112</v>
      </c>
      <c r="F114" s="5">
        <f>IFERROR(__xludf.DUMMYFUNCTION("""COMPUTED_VALUE"""),1.0)</f>
        <v>1</v>
      </c>
      <c r="G114" s="5"/>
      <c r="H114" s="5" t="b">
        <f>IFERROR(__xludf.DUMMYFUNCTION("""COMPUTED_VALUE"""),FALSE)</f>
        <v>0</v>
      </c>
      <c r="I114" s="5"/>
      <c r="J114" s="5" t="str">
        <f>IFERROR(__xludf.DUMMYFUNCTION("""COMPUTED_VALUE"""),"CS76759")</f>
        <v>CS76759</v>
      </c>
      <c r="K114" s="5">
        <f>IFERROR(__xludf.DUMMYFUNCTION("""COMPUTED_VALUE"""),40.542081)</f>
        <v>40.542081</v>
      </c>
      <c r="L114" s="5">
        <f>IFERROR(__xludf.DUMMYFUNCTION("""COMPUTED_VALUE"""),-3.68695)</f>
        <v>-3.68695</v>
      </c>
      <c r="M114" s="5">
        <f>IFERROR(__xludf.DUMMYFUNCTION("""COMPUTED_VALUE"""),733.0)</f>
        <v>733</v>
      </c>
      <c r="N114" s="5">
        <f>IFERROR(__xludf.DUMMYFUNCTION("""COMPUTED_VALUE"""),8.0)</f>
        <v>8</v>
      </c>
      <c r="O114" s="5"/>
      <c r="P114" s="5"/>
      <c r="Q114" s="5" t="str">
        <f>IFERROR(__xludf.DUMMYFUNCTION("""COMPUTED_VALUE"""),"no")</f>
        <v>no</v>
      </c>
      <c r="R114" s="5" t="str">
        <f>IFERROR(__xludf.DUMMYFUNCTION("""COMPUTED_VALUE"""),"HiFi")</f>
        <v>HiFi</v>
      </c>
      <c r="S114" s="5" t="str">
        <f>IFERROR(__xludf.DUMMYFUNCTION("""COMPUTED_VALUE"""),"hifiasm_v0.16.1-r375")</f>
        <v>hifiasm_v0.16.1-r375</v>
      </c>
      <c r="T114" s="6" t="str">
        <f>IFERROR(__xludf.DUMMYFUNCTION("""COMPUTED_VALUE"""),"Individual")</f>
        <v>Individual</v>
      </c>
      <c r="U114" s="6">
        <f>IFERROR(__xludf.DUMMYFUNCTION("""COMPUTED_VALUE"""),2023.0)</f>
        <v>2023</v>
      </c>
      <c r="V114" s="6" t="str">
        <f>IFERROR(__xludf.DUMMYFUNCTION("""COMPUTED_VALUE"""),"yes")</f>
        <v>yes</v>
      </c>
      <c r="W114" s="6" t="str">
        <f>IFERROR(__xludf.DUMMYFUNCTION("""COMPUTED_VALUE"""),"Wlodzimierz")</f>
        <v>Wlodzimierz</v>
      </c>
      <c r="X114" s="5">
        <f>IFERROR(__xludf.DUMMYFUNCTION("""COMPUTED_VALUE"""),2023.0)</f>
        <v>2023</v>
      </c>
      <c r="Y114" s="5" t="str">
        <f>IFERROR(__xludf.DUMMYFUNCTION("""COMPUTED_VALUE"""),"Nature")</f>
        <v>Nature</v>
      </c>
      <c r="Z114" s="7" t="str">
        <f>IFERROR(__xludf.DUMMYFUNCTION("""COMPUTED_VALUE"""),"10.1038/s41586-023-06062-z")</f>
        <v>10.1038/s41586-023-06062-z</v>
      </c>
      <c r="AA114" s="7" t="str">
        <f>IFERROR(__xludf.DUMMYFUNCTION("""COMPUTED_VALUE"""),"https://www.nature.com/articles/s41586-023-06062-z")</f>
        <v>https://www.nature.com/articles/s41586-023-06062-z</v>
      </c>
      <c r="AB114" s="5"/>
    </row>
    <row r="115">
      <c r="A115" s="5">
        <f>IFERROR(__xludf.DUMMYFUNCTION("""COMPUTED_VALUE"""),100113.0)</f>
        <v>100113</v>
      </c>
      <c r="B115" s="5" t="str">
        <f>IFERROR(__xludf.DUMMYFUNCTION("""COMPUTED_VALUE"""),"IP-Cat-28")</f>
        <v>IP-Cat-28</v>
      </c>
      <c r="C115" s="5">
        <f>IFERROR(__xludf.DUMMYFUNCTION("""COMPUTED_VALUE"""),22061.0)</f>
        <v>22061</v>
      </c>
      <c r="D115" s="5"/>
      <c r="E115" s="5"/>
      <c r="F115" s="5">
        <f>IFERROR(__xludf.DUMMYFUNCTION("""COMPUTED_VALUE"""),1.0)</f>
        <v>1</v>
      </c>
      <c r="G115" s="5"/>
      <c r="H115" s="5"/>
      <c r="I115" s="5"/>
      <c r="J115" s="5"/>
      <c r="K115" s="5">
        <f>IFERROR(__xludf.DUMMYFUNCTION("""COMPUTED_VALUE"""),40.542081)</f>
        <v>40.542081</v>
      </c>
      <c r="L115" s="5">
        <f>IFERROR(__xludf.DUMMYFUNCTION("""COMPUTED_VALUE"""),-3.68695)</f>
        <v>-3.68695</v>
      </c>
      <c r="M115" s="5">
        <f>IFERROR(__xludf.DUMMYFUNCTION("""COMPUTED_VALUE"""),733.0)</f>
        <v>733</v>
      </c>
      <c r="N115" s="5">
        <f>IFERROR(__xludf.DUMMYFUNCTION("""COMPUTED_VALUE"""),7.0)</f>
        <v>7</v>
      </c>
      <c r="O115" s="5"/>
      <c r="P115" s="5"/>
      <c r="Q115" s="5" t="str">
        <f>IFERROR(__xludf.DUMMYFUNCTION("""COMPUTED_VALUE"""),"yes")</f>
        <v>yes</v>
      </c>
      <c r="R115" s="5" t="str">
        <f>IFERROR(__xludf.DUMMYFUNCTION("""COMPUTED_VALUE"""),"HiFi")</f>
        <v>HiFi</v>
      </c>
      <c r="S115" s="5" t="str">
        <f>IFERROR(__xludf.DUMMYFUNCTION("""COMPUTED_VALUE"""),"hifiasm_v0.16.1-r375")</f>
        <v>hifiasm_v0.16.1-r375</v>
      </c>
      <c r="T115" s="6" t="str">
        <f>IFERROR(__xludf.DUMMYFUNCTION("""COMPUTED_VALUE"""),"Individual")</f>
        <v>Individual</v>
      </c>
      <c r="U115" s="6">
        <f>IFERROR(__xludf.DUMMYFUNCTION("""COMPUTED_VALUE"""),2024.0)</f>
        <v>2024</v>
      </c>
      <c r="V115" s="6" t="str">
        <f>IFERROR(__xludf.DUMMYFUNCTION("""COMPUTED_VALUE"""),"no")</f>
        <v>no</v>
      </c>
      <c r="W115" s="6" t="str">
        <f>IFERROR(__xludf.DUMMYFUNCTION("""COMPUTED_VALUE"""),"Rabanal")</f>
        <v>Rabanal</v>
      </c>
      <c r="X115" s="5"/>
      <c r="Y115" s="5" t="str">
        <f>IFERROR(__xludf.DUMMYFUNCTION("""COMPUTED_VALUE"""),"unpublished")</f>
        <v>unpublished</v>
      </c>
      <c r="Z115" s="5"/>
      <c r="AA115" s="5"/>
      <c r="AB115" s="5"/>
    </row>
    <row r="116">
      <c r="A116" s="5">
        <f>IFERROR(__xludf.DUMMYFUNCTION("""COMPUTED_VALUE"""),100114.0)</f>
        <v>100114</v>
      </c>
      <c r="B116" s="5" t="str">
        <f>IFERROR(__xludf.DUMMYFUNCTION("""COMPUTED_VALUE"""),"IP-Cer-1")</f>
        <v>IP-Cer-1</v>
      </c>
      <c r="C116" s="5">
        <f>IFERROR(__xludf.DUMMYFUNCTION("""COMPUTED_VALUE"""),22062.0)</f>
        <v>22062</v>
      </c>
      <c r="D116" s="5"/>
      <c r="E116" s="5"/>
      <c r="F116" s="5">
        <f>IFERROR(__xludf.DUMMYFUNCTION("""COMPUTED_VALUE"""),1.0)</f>
        <v>1</v>
      </c>
      <c r="G116" s="5"/>
      <c r="H116" s="5"/>
      <c r="I116" s="5"/>
      <c r="J116" s="5" t="str">
        <f>IFERROR(__xludf.DUMMYFUNCTION("""COMPUTED_VALUE"""),"CS799222")</f>
        <v>CS799222</v>
      </c>
      <c r="K116" s="5">
        <f>IFERROR(__xludf.DUMMYFUNCTION("""COMPUTED_VALUE"""),40.737094)</f>
        <v>40.737094</v>
      </c>
      <c r="L116" s="5">
        <f>IFERROR(__xludf.DUMMYFUNCTION("""COMPUTED_VALUE"""),-4.068902)</f>
        <v>-4.068902</v>
      </c>
      <c r="M116" s="5">
        <f>IFERROR(__xludf.DUMMYFUNCTION("""COMPUTED_VALUE"""),1168.0)</f>
        <v>1168</v>
      </c>
      <c r="N116" s="5">
        <f>IFERROR(__xludf.DUMMYFUNCTION("""COMPUTED_VALUE"""),9.0)</f>
        <v>9</v>
      </c>
      <c r="O116" s="5"/>
      <c r="P116" s="5"/>
      <c r="Q116" s="5" t="str">
        <f>IFERROR(__xludf.DUMMYFUNCTION("""COMPUTED_VALUE"""),"yes")</f>
        <v>yes</v>
      </c>
      <c r="R116" s="5" t="str">
        <f>IFERROR(__xludf.DUMMYFUNCTION("""COMPUTED_VALUE"""),"HiFi")</f>
        <v>HiFi</v>
      </c>
      <c r="S116" s="5" t="str">
        <f>IFERROR(__xludf.DUMMYFUNCTION("""COMPUTED_VALUE"""),"hifiasm_v0.16.1-r375")</f>
        <v>hifiasm_v0.16.1-r375</v>
      </c>
      <c r="T116" s="6" t="str">
        <f>IFERROR(__xludf.DUMMYFUNCTION("""COMPUTED_VALUE"""),"Individual")</f>
        <v>Individual</v>
      </c>
      <c r="U116" s="6">
        <f>IFERROR(__xludf.DUMMYFUNCTION("""COMPUTED_VALUE"""),2024.0)</f>
        <v>2024</v>
      </c>
      <c r="V116" s="6" t="str">
        <f>IFERROR(__xludf.DUMMYFUNCTION("""COMPUTED_VALUE"""),"no")</f>
        <v>no</v>
      </c>
      <c r="W116" s="6" t="str">
        <f>IFERROR(__xludf.DUMMYFUNCTION("""COMPUTED_VALUE"""),"Rabanal")</f>
        <v>Rabanal</v>
      </c>
      <c r="X116" s="5"/>
      <c r="Y116" s="5" t="str">
        <f>IFERROR(__xludf.DUMMYFUNCTION("""COMPUTED_VALUE"""),"unpublished")</f>
        <v>unpublished</v>
      </c>
      <c r="Z116" s="5"/>
      <c r="AA116" s="5"/>
      <c r="AB116" s="5"/>
    </row>
    <row r="117">
      <c r="A117" s="5">
        <f>IFERROR(__xludf.DUMMYFUNCTION("""COMPUTED_VALUE"""),100115.0)</f>
        <v>100115</v>
      </c>
      <c r="B117" s="5" t="str">
        <f>IFERROR(__xludf.DUMMYFUNCTION("""COMPUTED_VALUE"""),"IP-Cer-6")</f>
        <v>IP-Cer-6</v>
      </c>
      <c r="C117" s="5">
        <f>IFERROR(__xludf.DUMMYFUNCTION("""COMPUTED_VALUE"""),22063.0)</f>
        <v>22063</v>
      </c>
      <c r="D117" s="5"/>
      <c r="E117" s="5"/>
      <c r="F117" s="5">
        <f>IFERROR(__xludf.DUMMYFUNCTION("""COMPUTED_VALUE"""),1.0)</f>
        <v>1</v>
      </c>
      <c r="G117" s="5"/>
      <c r="H117" s="5"/>
      <c r="I117" s="5"/>
      <c r="J117" s="5"/>
      <c r="K117" s="5">
        <f>IFERROR(__xludf.DUMMYFUNCTION("""COMPUTED_VALUE"""),40.737094)</f>
        <v>40.737094</v>
      </c>
      <c r="L117" s="5">
        <f>IFERROR(__xludf.DUMMYFUNCTION("""COMPUTED_VALUE"""),-4.068902)</f>
        <v>-4.068902</v>
      </c>
      <c r="M117" s="5">
        <f>IFERROR(__xludf.DUMMYFUNCTION("""COMPUTED_VALUE"""),1168.0)</f>
        <v>1168</v>
      </c>
      <c r="N117" s="5">
        <f>IFERROR(__xludf.DUMMYFUNCTION("""COMPUTED_VALUE"""),23.0)</f>
        <v>23</v>
      </c>
      <c r="O117" s="5"/>
      <c r="P117" s="5"/>
      <c r="Q117" s="5" t="str">
        <f>IFERROR(__xludf.DUMMYFUNCTION("""COMPUTED_VALUE"""),"no")</f>
        <v>no</v>
      </c>
      <c r="R117" s="5" t="str">
        <f>IFERROR(__xludf.DUMMYFUNCTION("""COMPUTED_VALUE"""),"HiFi")</f>
        <v>HiFi</v>
      </c>
      <c r="S117" s="5" t="str">
        <f>IFERROR(__xludf.DUMMYFUNCTION("""COMPUTED_VALUE"""),"hifiasm_v0.16.1-r375")</f>
        <v>hifiasm_v0.16.1-r375</v>
      </c>
      <c r="T117" s="6" t="str">
        <f>IFERROR(__xludf.DUMMYFUNCTION("""COMPUTED_VALUE"""),"Individual")</f>
        <v>Individual</v>
      </c>
      <c r="U117" s="6">
        <f>IFERROR(__xludf.DUMMYFUNCTION("""COMPUTED_VALUE"""),2024.0)</f>
        <v>2024</v>
      </c>
      <c r="V117" s="6" t="str">
        <f>IFERROR(__xludf.DUMMYFUNCTION("""COMPUTED_VALUE"""),"no")</f>
        <v>no</v>
      </c>
      <c r="W117" s="6" t="str">
        <f>IFERROR(__xludf.DUMMYFUNCTION("""COMPUTED_VALUE"""),"Rabanal")</f>
        <v>Rabanal</v>
      </c>
      <c r="X117" s="5"/>
      <c r="Y117" s="5" t="str">
        <f>IFERROR(__xludf.DUMMYFUNCTION("""COMPUTED_VALUE"""),"unpublished")</f>
        <v>unpublished</v>
      </c>
      <c r="Z117" s="5"/>
      <c r="AA117" s="5"/>
      <c r="AB117" s="5"/>
    </row>
    <row r="118">
      <c r="A118" s="5">
        <f>IFERROR(__xludf.DUMMYFUNCTION("""COMPUTED_VALUE"""),100116.0)</f>
        <v>100116</v>
      </c>
      <c r="B118" s="5" t="str">
        <f>IFERROR(__xludf.DUMMYFUNCTION("""COMPUTED_VALUE"""),"IP-Evs-0")</f>
        <v>IP-Evs-0</v>
      </c>
      <c r="C118" s="5">
        <f>IFERROR(__xludf.DUMMYFUNCTION("""COMPUTED_VALUE"""),9845.0)</f>
        <v>9845</v>
      </c>
      <c r="D118" s="5"/>
      <c r="E118" s="5"/>
      <c r="F118" s="5">
        <f>IFERROR(__xludf.DUMMYFUNCTION("""COMPUTED_VALUE"""),1.0)</f>
        <v>1</v>
      </c>
      <c r="G118" s="5"/>
      <c r="H118" s="5"/>
      <c r="I118" s="5"/>
      <c r="J118" s="5" t="str">
        <f>IFERROR(__xludf.DUMMYFUNCTION("""COMPUTED_VALUE"""),"CS76848")</f>
        <v>CS76848</v>
      </c>
      <c r="K118" s="5">
        <f>IFERROR(__xludf.DUMMYFUNCTION("""COMPUTED_VALUE"""),40.479175)</f>
        <v>40.479175</v>
      </c>
      <c r="L118" s="5">
        <f>IFERROR(__xludf.DUMMYFUNCTION("""COMPUTED_VALUE"""),-3.959696)</f>
        <v>-3.959696</v>
      </c>
      <c r="M118" s="5">
        <f>IFERROR(__xludf.DUMMYFUNCTION("""COMPUTED_VALUE"""),613.0)</f>
        <v>613</v>
      </c>
      <c r="N118" s="5">
        <f>IFERROR(__xludf.DUMMYFUNCTION("""COMPUTED_VALUE"""),4.0)</f>
        <v>4</v>
      </c>
      <c r="O118" s="5"/>
      <c r="P118" s="5"/>
      <c r="Q118" s="5" t="str">
        <f>IFERROR(__xludf.DUMMYFUNCTION("""COMPUTED_VALUE"""),"yes")</f>
        <v>yes</v>
      </c>
      <c r="R118" s="5" t="str">
        <f>IFERROR(__xludf.DUMMYFUNCTION("""COMPUTED_VALUE"""),"HiFi")</f>
        <v>HiFi</v>
      </c>
      <c r="S118" s="5" t="str">
        <f>IFERROR(__xludf.DUMMYFUNCTION("""COMPUTED_VALUE"""),"hifiasm_v0.16.1-r375")</f>
        <v>hifiasm_v0.16.1-r375</v>
      </c>
      <c r="T118" s="6" t="str">
        <f>IFERROR(__xludf.DUMMYFUNCTION("""COMPUTED_VALUE"""),"Individual")</f>
        <v>Individual</v>
      </c>
      <c r="U118" s="6">
        <f>IFERROR(__xludf.DUMMYFUNCTION("""COMPUTED_VALUE"""),2023.0)</f>
        <v>2023</v>
      </c>
      <c r="V118" s="6" t="str">
        <f>IFERROR(__xludf.DUMMYFUNCTION("""COMPUTED_VALUE"""),"yes")</f>
        <v>yes</v>
      </c>
      <c r="W118" s="6" t="str">
        <f>IFERROR(__xludf.DUMMYFUNCTION("""COMPUTED_VALUE"""),"Wlodzimierz")</f>
        <v>Wlodzimierz</v>
      </c>
      <c r="X118" s="5">
        <f>IFERROR(__xludf.DUMMYFUNCTION("""COMPUTED_VALUE"""),2023.0)</f>
        <v>2023</v>
      </c>
      <c r="Y118" s="5" t="str">
        <f>IFERROR(__xludf.DUMMYFUNCTION("""COMPUTED_VALUE"""),"Nature")</f>
        <v>Nature</v>
      </c>
      <c r="Z118" s="7" t="str">
        <f>IFERROR(__xludf.DUMMYFUNCTION("""COMPUTED_VALUE"""),"10.1038/s41586-023-06062-z")</f>
        <v>10.1038/s41586-023-06062-z</v>
      </c>
      <c r="AA118" s="7" t="str">
        <f>IFERROR(__xludf.DUMMYFUNCTION("""COMPUTED_VALUE"""),"https://www.nature.com/articles/s41586-023-06062-z")</f>
        <v>https://www.nature.com/articles/s41586-023-06062-z</v>
      </c>
      <c r="AB118" s="5"/>
    </row>
    <row r="119">
      <c r="A119" s="5">
        <f>IFERROR(__xludf.DUMMYFUNCTION("""COMPUTED_VALUE"""),100117.0)</f>
        <v>100117</v>
      </c>
      <c r="B119" s="5" t="str">
        <f>IFERROR(__xludf.DUMMYFUNCTION("""COMPUTED_VALUE"""),"IP-Evs-12")</f>
        <v>IP-Evs-12</v>
      </c>
      <c r="C119" s="5">
        <f>IFERROR(__xludf.DUMMYFUNCTION("""COMPUTED_VALUE"""),22064.0)</f>
        <v>22064</v>
      </c>
      <c r="D119" s="5"/>
      <c r="E119" s="5"/>
      <c r="F119" s="5">
        <f>IFERROR(__xludf.DUMMYFUNCTION("""COMPUTED_VALUE"""),1.0)</f>
        <v>1</v>
      </c>
      <c r="G119" s="5"/>
      <c r="H119" s="5"/>
      <c r="I119" s="5"/>
      <c r="J119" s="5"/>
      <c r="K119" s="5">
        <f>IFERROR(__xludf.DUMMYFUNCTION("""COMPUTED_VALUE"""),40.479175)</f>
        <v>40.479175</v>
      </c>
      <c r="L119" s="5">
        <f>IFERROR(__xludf.DUMMYFUNCTION("""COMPUTED_VALUE"""),-3.959696)</f>
        <v>-3.959696</v>
      </c>
      <c r="M119" s="5">
        <f>IFERROR(__xludf.DUMMYFUNCTION("""COMPUTED_VALUE"""),613.0)</f>
        <v>613</v>
      </c>
      <c r="N119" s="5">
        <f>IFERROR(__xludf.DUMMYFUNCTION("""COMPUTED_VALUE"""),3.0)</f>
        <v>3</v>
      </c>
      <c r="O119" s="5"/>
      <c r="P119" s="5"/>
      <c r="Q119" s="5" t="str">
        <f>IFERROR(__xludf.DUMMYFUNCTION("""COMPUTED_VALUE"""),"yes")</f>
        <v>yes</v>
      </c>
      <c r="R119" s="5" t="str">
        <f>IFERROR(__xludf.DUMMYFUNCTION("""COMPUTED_VALUE"""),"HiFi")</f>
        <v>HiFi</v>
      </c>
      <c r="S119" s="5" t="str">
        <f>IFERROR(__xludf.DUMMYFUNCTION("""COMPUTED_VALUE"""),"hifiasm_v0.16.1-r375")</f>
        <v>hifiasm_v0.16.1-r375</v>
      </c>
      <c r="T119" s="6" t="str">
        <f>IFERROR(__xludf.DUMMYFUNCTION("""COMPUTED_VALUE"""),"Individual")</f>
        <v>Individual</v>
      </c>
      <c r="U119" s="6">
        <f>IFERROR(__xludf.DUMMYFUNCTION("""COMPUTED_VALUE"""),2023.0)</f>
        <v>2023</v>
      </c>
      <c r="V119" s="6" t="str">
        <f>IFERROR(__xludf.DUMMYFUNCTION("""COMPUTED_VALUE"""),"yes")</f>
        <v>yes</v>
      </c>
      <c r="W119" s="6" t="str">
        <f>IFERROR(__xludf.DUMMYFUNCTION("""COMPUTED_VALUE"""),"Wlodzimierz")</f>
        <v>Wlodzimierz</v>
      </c>
      <c r="X119" s="5">
        <f>IFERROR(__xludf.DUMMYFUNCTION("""COMPUTED_VALUE"""),2023.0)</f>
        <v>2023</v>
      </c>
      <c r="Y119" s="5" t="str">
        <f>IFERROR(__xludf.DUMMYFUNCTION("""COMPUTED_VALUE"""),"Nature")</f>
        <v>Nature</v>
      </c>
      <c r="Z119" s="7" t="str">
        <f>IFERROR(__xludf.DUMMYFUNCTION("""COMPUTED_VALUE"""),"10.1038/s41586-023-06062-z")</f>
        <v>10.1038/s41586-023-06062-z</v>
      </c>
      <c r="AA119" s="7" t="str">
        <f>IFERROR(__xludf.DUMMYFUNCTION("""COMPUTED_VALUE"""),"https://www.nature.com/articles/s41586-023-06062-z")</f>
        <v>https://www.nature.com/articles/s41586-023-06062-z</v>
      </c>
      <c r="AB119" s="5"/>
    </row>
    <row r="120">
      <c r="A120" s="5">
        <f>IFERROR(__xludf.DUMMYFUNCTION("""COMPUTED_VALUE"""),100118.0)</f>
        <v>100118</v>
      </c>
      <c r="B120" s="5" t="str">
        <f>IFERROR(__xludf.DUMMYFUNCTION("""COMPUTED_VALUE"""),"IP-Her-10")</f>
        <v>IP-Her-10</v>
      </c>
      <c r="C120" s="5">
        <f>IFERROR(__xludf.DUMMYFUNCTION("""COMPUTED_VALUE"""),22065.0)</f>
        <v>22065</v>
      </c>
      <c r="D120" s="5"/>
      <c r="E120" s="5"/>
      <c r="F120" s="5">
        <f>IFERROR(__xludf.DUMMYFUNCTION("""COMPUTED_VALUE"""),1.0)</f>
        <v>1</v>
      </c>
      <c r="G120" s="5"/>
      <c r="H120" s="5"/>
      <c r="I120" s="5"/>
      <c r="J120" s="5"/>
      <c r="K120" s="5">
        <f>IFERROR(__xludf.DUMMYFUNCTION("""COMPUTED_VALUE"""),39.394802)</f>
        <v>39.394802</v>
      </c>
      <c r="L120" s="5">
        <f>IFERROR(__xludf.DUMMYFUNCTION("""COMPUTED_VALUE"""),-5.782793)</f>
        <v>-5.782793</v>
      </c>
      <c r="M120" s="5">
        <f>IFERROR(__xludf.DUMMYFUNCTION("""COMPUTED_VALUE"""),584.0)</f>
        <v>584</v>
      </c>
      <c r="N120" s="5">
        <f>IFERROR(__xludf.DUMMYFUNCTION("""COMPUTED_VALUE"""),11.0)</f>
        <v>11</v>
      </c>
      <c r="O120" s="5"/>
      <c r="P120" s="5"/>
      <c r="Q120" s="5" t="str">
        <f>IFERROR(__xludf.DUMMYFUNCTION("""COMPUTED_VALUE"""),"no")</f>
        <v>no</v>
      </c>
      <c r="R120" s="5" t="str">
        <f>IFERROR(__xludf.DUMMYFUNCTION("""COMPUTED_VALUE"""),"HiFi")</f>
        <v>HiFi</v>
      </c>
      <c r="S120" s="5" t="str">
        <f>IFERROR(__xludf.DUMMYFUNCTION("""COMPUTED_VALUE"""),"hifiasm_v0.16.1-r375")</f>
        <v>hifiasm_v0.16.1-r375</v>
      </c>
      <c r="T120" s="6" t="str">
        <f>IFERROR(__xludf.DUMMYFUNCTION("""COMPUTED_VALUE"""),"Individual")</f>
        <v>Individual</v>
      </c>
      <c r="U120" s="6">
        <f>IFERROR(__xludf.DUMMYFUNCTION("""COMPUTED_VALUE"""),2024.0)</f>
        <v>2024</v>
      </c>
      <c r="V120" s="6" t="str">
        <f>IFERROR(__xludf.DUMMYFUNCTION("""COMPUTED_VALUE"""),"no")</f>
        <v>no</v>
      </c>
      <c r="W120" s="6" t="str">
        <f>IFERROR(__xludf.DUMMYFUNCTION("""COMPUTED_VALUE"""),"Rabanal")</f>
        <v>Rabanal</v>
      </c>
      <c r="X120" s="5"/>
      <c r="Y120" s="5" t="str">
        <f>IFERROR(__xludf.DUMMYFUNCTION("""COMPUTED_VALUE"""),"unpublished")</f>
        <v>unpublished</v>
      </c>
      <c r="Z120" s="5"/>
      <c r="AA120" s="5"/>
      <c r="AB120" s="5"/>
    </row>
    <row r="121">
      <c r="A121" s="5">
        <f>IFERROR(__xludf.DUMMYFUNCTION("""COMPUTED_VALUE"""),100119.0)</f>
        <v>100119</v>
      </c>
      <c r="B121" s="5" t="str">
        <f>IFERROR(__xludf.DUMMYFUNCTION("""COMPUTED_VALUE"""),"IP-Her-12")</f>
        <v>IP-Her-12</v>
      </c>
      <c r="C121" s="5">
        <f>IFERROR(__xludf.DUMMYFUNCTION("""COMPUTED_VALUE"""),9545.0)</f>
        <v>9545</v>
      </c>
      <c r="D121" s="5"/>
      <c r="E121" s="5"/>
      <c r="F121" s="5">
        <f>IFERROR(__xludf.DUMMYFUNCTION("""COMPUTED_VALUE"""),1.0)</f>
        <v>1</v>
      </c>
      <c r="G121" s="5"/>
      <c r="H121" s="5"/>
      <c r="I121" s="5"/>
      <c r="J121" s="5" t="str">
        <f>IFERROR(__xludf.DUMMYFUNCTION("""COMPUTED_VALUE"""),"CS76920")</f>
        <v>CS76920</v>
      </c>
      <c r="K121" s="5">
        <f>IFERROR(__xludf.DUMMYFUNCTION("""COMPUTED_VALUE"""),39.394802)</f>
        <v>39.394802</v>
      </c>
      <c r="L121" s="5">
        <f>IFERROR(__xludf.DUMMYFUNCTION("""COMPUTED_VALUE"""),-5.782793)</f>
        <v>-5.782793</v>
      </c>
      <c r="M121" s="5">
        <f>IFERROR(__xludf.DUMMYFUNCTION("""COMPUTED_VALUE"""),584.0)</f>
        <v>584</v>
      </c>
      <c r="N121" s="5">
        <f>IFERROR(__xludf.DUMMYFUNCTION("""COMPUTED_VALUE"""),3.0)</f>
        <v>3</v>
      </c>
      <c r="O121" s="5"/>
      <c r="P121" s="5"/>
      <c r="Q121" s="5" t="str">
        <f>IFERROR(__xludf.DUMMYFUNCTION("""COMPUTED_VALUE"""),"yes")</f>
        <v>yes</v>
      </c>
      <c r="R121" s="5" t="str">
        <f>IFERROR(__xludf.DUMMYFUNCTION("""COMPUTED_VALUE"""),"HiFi")</f>
        <v>HiFi</v>
      </c>
      <c r="S121" s="5" t="str">
        <f>IFERROR(__xludf.DUMMYFUNCTION("""COMPUTED_VALUE"""),"hifiasm_v0.16.1-r375")</f>
        <v>hifiasm_v0.16.1-r375</v>
      </c>
      <c r="T121" s="6" t="str">
        <f>IFERROR(__xludf.DUMMYFUNCTION("""COMPUTED_VALUE"""),"Individual")</f>
        <v>Individual</v>
      </c>
      <c r="U121" s="6">
        <f>IFERROR(__xludf.DUMMYFUNCTION("""COMPUTED_VALUE"""),2024.0)</f>
        <v>2024</v>
      </c>
      <c r="V121" s="6" t="str">
        <f>IFERROR(__xludf.DUMMYFUNCTION("""COMPUTED_VALUE"""),"no")</f>
        <v>no</v>
      </c>
      <c r="W121" s="6" t="str">
        <f>IFERROR(__xludf.DUMMYFUNCTION("""COMPUTED_VALUE"""),"Rabanal")</f>
        <v>Rabanal</v>
      </c>
      <c r="X121" s="5"/>
      <c r="Y121" s="5" t="str">
        <f>IFERROR(__xludf.DUMMYFUNCTION("""COMPUTED_VALUE"""),"unpublished")</f>
        <v>unpublished</v>
      </c>
      <c r="Z121" s="5"/>
      <c r="AA121" s="5"/>
      <c r="AB121" s="5"/>
    </row>
    <row r="122">
      <c r="A122" s="5">
        <f>IFERROR(__xludf.DUMMYFUNCTION("""COMPUTED_VALUE"""),100120.0)</f>
        <v>100120</v>
      </c>
      <c r="B122" s="5" t="str">
        <f>IFERROR(__xludf.DUMMYFUNCTION("""COMPUTED_VALUE"""),"IP-Hom-0")</f>
        <v>IP-Hom-0</v>
      </c>
      <c r="C122" s="5">
        <f>IFERROR(__xludf.DUMMYFUNCTION("""COMPUTED_VALUE"""),22066.0)</f>
        <v>22066</v>
      </c>
      <c r="D122" s="5"/>
      <c r="E122" s="5"/>
      <c r="F122" s="5">
        <f>IFERROR(__xludf.DUMMYFUNCTION("""COMPUTED_VALUE"""),1.0)</f>
        <v>1</v>
      </c>
      <c r="G122" s="5"/>
      <c r="H122" s="5"/>
      <c r="I122" s="5"/>
      <c r="J122" s="5"/>
      <c r="K122" s="5">
        <f>IFERROR(__xludf.DUMMYFUNCTION("""COMPUTED_VALUE"""),40.816799)</f>
        <v>40.816799</v>
      </c>
      <c r="L122" s="5">
        <f>IFERROR(__xludf.DUMMYFUNCTION("""COMPUTED_VALUE"""),-1.68601)</f>
        <v>-1.68601</v>
      </c>
      <c r="M122" s="5">
        <f>IFERROR(__xludf.DUMMYFUNCTION("""COMPUTED_VALUE"""),1262.0)</f>
        <v>1262</v>
      </c>
      <c r="N122" s="5">
        <f>IFERROR(__xludf.DUMMYFUNCTION("""COMPUTED_VALUE"""),11.0)</f>
        <v>11</v>
      </c>
      <c r="O122" s="5"/>
      <c r="P122" s="5"/>
      <c r="Q122" s="5" t="str">
        <f>IFERROR(__xludf.DUMMYFUNCTION("""COMPUTED_VALUE"""),"yes")</f>
        <v>yes</v>
      </c>
      <c r="R122" s="5" t="str">
        <f>IFERROR(__xludf.DUMMYFUNCTION("""COMPUTED_VALUE"""),"HiFi")</f>
        <v>HiFi</v>
      </c>
      <c r="S122" s="5" t="str">
        <f>IFERROR(__xludf.DUMMYFUNCTION("""COMPUTED_VALUE"""),"hifiasm_v0.16.1-r375")</f>
        <v>hifiasm_v0.16.1-r375</v>
      </c>
      <c r="T122" s="6" t="str">
        <f>IFERROR(__xludf.DUMMYFUNCTION("""COMPUTED_VALUE"""),"Individual")</f>
        <v>Individual</v>
      </c>
      <c r="U122" s="6">
        <f>IFERROR(__xludf.DUMMYFUNCTION("""COMPUTED_VALUE"""),2023.0)</f>
        <v>2023</v>
      </c>
      <c r="V122" s="6" t="str">
        <f>IFERROR(__xludf.DUMMYFUNCTION("""COMPUTED_VALUE"""),"yes")</f>
        <v>yes</v>
      </c>
      <c r="W122" s="6" t="str">
        <f>IFERROR(__xludf.DUMMYFUNCTION("""COMPUTED_VALUE"""),"Wlodzimierz")</f>
        <v>Wlodzimierz</v>
      </c>
      <c r="X122" s="5">
        <f>IFERROR(__xludf.DUMMYFUNCTION("""COMPUTED_VALUE"""),2023.0)</f>
        <v>2023</v>
      </c>
      <c r="Y122" s="5" t="str">
        <f>IFERROR(__xludf.DUMMYFUNCTION("""COMPUTED_VALUE"""),"Nature")</f>
        <v>Nature</v>
      </c>
      <c r="Z122" s="7" t="str">
        <f>IFERROR(__xludf.DUMMYFUNCTION("""COMPUTED_VALUE"""),"10.1038/s41586-023-06062-z")</f>
        <v>10.1038/s41586-023-06062-z</v>
      </c>
      <c r="AA122" s="7" t="str">
        <f>IFERROR(__xludf.DUMMYFUNCTION("""COMPUTED_VALUE"""),"https://www.nature.com/articles/s41586-023-06062-z")</f>
        <v>https://www.nature.com/articles/s41586-023-06062-z</v>
      </c>
      <c r="AB122" s="5"/>
    </row>
    <row r="123">
      <c r="A123" s="5">
        <f>IFERROR(__xludf.DUMMYFUNCTION("""COMPUTED_VALUE"""),100121.0)</f>
        <v>100121</v>
      </c>
      <c r="B123" s="5" t="str">
        <f>IFERROR(__xludf.DUMMYFUNCTION("""COMPUTED_VALUE"""),"IP-Hom-4")</f>
        <v>IP-Hom-4</v>
      </c>
      <c r="C123" s="5">
        <f>IFERROR(__xludf.DUMMYFUNCTION("""COMPUTED_VALUE"""),9546.0)</f>
        <v>9546</v>
      </c>
      <c r="D123" s="5"/>
      <c r="E123" s="5"/>
      <c r="F123" s="5">
        <f>IFERROR(__xludf.DUMMYFUNCTION("""COMPUTED_VALUE"""),1.0)</f>
        <v>1</v>
      </c>
      <c r="G123" s="5"/>
      <c r="H123" s="5"/>
      <c r="I123" s="5"/>
      <c r="J123" s="5" t="str">
        <f>IFERROR(__xludf.DUMMYFUNCTION("""COMPUTED_VALUE"""),"CS76929")</f>
        <v>CS76929</v>
      </c>
      <c r="K123" s="5">
        <f>IFERROR(__xludf.DUMMYFUNCTION("""COMPUTED_VALUE"""),40.816799)</f>
        <v>40.816799</v>
      </c>
      <c r="L123" s="5">
        <f>IFERROR(__xludf.DUMMYFUNCTION("""COMPUTED_VALUE"""),-1.68601)</f>
        <v>-1.68601</v>
      </c>
      <c r="M123" s="5">
        <f>IFERROR(__xludf.DUMMYFUNCTION("""COMPUTED_VALUE"""),1262.0)</f>
        <v>1262</v>
      </c>
      <c r="N123" s="5">
        <f>IFERROR(__xludf.DUMMYFUNCTION("""COMPUTED_VALUE"""),6.0)</f>
        <v>6</v>
      </c>
      <c r="O123" s="5"/>
      <c r="P123" s="5"/>
      <c r="Q123" s="5" t="str">
        <f>IFERROR(__xludf.DUMMYFUNCTION("""COMPUTED_VALUE"""),"yes")</f>
        <v>yes</v>
      </c>
      <c r="R123" s="5" t="str">
        <f>IFERROR(__xludf.DUMMYFUNCTION("""COMPUTED_VALUE"""),"HiFi")</f>
        <v>HiFi</v>
      </c>
      <c r="S123" s="5" t="str">
        <f>IFERROR(__xludf.DUMMYFUNCTION("""COMPUTED_VALUE"""),"hifiasm_v0.16.1-r375")</f>
        <v>hifiasm_v0.16.1-r375</v>
      </c>
      <c r="T123" s="6" t="str">
        <f>IFERROR(__xludf.DUMMYFUNCTION("""COMPUTED_VALUE"""),"Individual")</f>
        <v>Individual</v>
      </c>
      <c r="U123" s="6">
        <f>IFERROR(__xludf.DUMMYFUNCTION("""COMPUTED_VALUE"""),2023.0)</f>
        <v>2023</v>
      </c>
      <c r="V123" s="6" t="str">
        <f>IFERROR(__xludf.DUMMYFUNCTION("""COMPUTED_VALUE"""),"yes")</f>
        <v>yes</v>
      </c>
      <c r="W123" s="6" t="str">
        <f>IFERROR(__xludf.DUMMYFUNCTION("""COMPUTED_VALUE"""),"Wlodzimierz")</f>
        <v>Wlodzimierz</v>
      </c>
      <c r="X123" s="5">
        <f>IFERROR(__xludf.DUMMYFUNCTION("""COMPUTED_VALUE"""),2023.0)</f>
        <v>2023</v>
      </c>
      <c r="Y123" s="5" t="str">
        <f>IFERROR(__xludf.DUMMYFUNCTION("""COMPUTED_VALUE"""),"Nature")</f>
        <v>Nature</v>
      </c>
      <c r="Z123" s="7" t="str">
        <f>IFERROR(__xludf.DUMMYFUNCTION("""COMPUTED_VALUE"""),"10.1038/s41586-023-06062-z")</f>
        <v>10.1038/s41586-023-06062-z</v>
      </c>
      <c r="AA123" s="7" t="str">
        <f>IFERROR(__xludf.DUMMYFUNCTION("""COMPUTED_VALUE"""),"https://www.nature.com/articles/s41586-023-06062-z")</f>
        <v>https://www.nature.com/articles/s41586-023-06062-z</v>
      </c>
      <c r="AB123" s="5"/>
    </row>
    <row r="124">
      <c r="A124" s="5">
        <f>IFERROR(__xludf.DUMMYFUNCTION("""COMPUTED_VALUE"""),100122.0)</f>
        <v>100122</v>
      </c>
      <c r="B124" s="5" t="str">
        <f>IFERROR(__xludf.DUMMYFUNCTION("""COMPUTED_VALUE"""),"IP-Hum-2")</f>
        <v>IP-Hum-2</v>
      </c>
      <c r="C124" s="5">
        <f>IFERROR(__xludf.DUMMYFUNCTION("""COMPUTED_VALUE"""),9549.0)</f>
        <v>9549</v>
      </c>
      <c r="D124" s="5"/>
      <c r="E124" s="5">
        <f>IFERROR(__xludf.DUMMYFUNCTION("""COMPUTED_VALUE"""),100122.0)</f>
        <v>100122</v>
      </c>
      <c r="F124" s="5">
        <f>IFERROR(__xludf.DUMMYFUNCTION("""COMPUTED_VALUE"""),1.0)</f>
        <v>1</v>
      </c>
      <c r="G124" s="5"/>
      <c r="H124" s="5" t="b">
        <f>IFERROR(__xludf.DUMMYFUNCTION("""COMPUTED_VALUE"""),FALSE)</f>
        <v>0</v>
      </c>
      <c r="I124" s="5"/>
      <c r="J124" s="5" t="str">
        <f>IFERROR(__xludf.DUMMYFUNCTION("""COMPUTED_VALUE"""),"CS76943")</f>
        <v>CS76943</v>
      </c>
      <c r="K124" s="5">
        <f>IFERROR(__xludf.DUMMYFUNCTION("""COMPUTED_VALUE"""),42.227184)</f>
        <v>42.227184</v>
      </c>
      <c r="L124" s="5">
        <f>IFERROR(__xludf.DUMMYFUNCTION("""COMPUTED_VALUE"""),-3.688887)</f>
        <v>-3.688887</v>
      </c>
      <c r="M124" s="5">
        <f>IFERROR(__xludf.DUMMYFUNCTION("""COMPUTED_VALUE"""),924.0)</f>
        <v>924</v>
      </c>
      <c r="N124" s="5">
        <f>IFERROR(__xludf.DUMMYFUNCTION("""COMPUTED_VALUE"""),9.0)</f>
        <v>9</v>
      </c>
      <c r="O124" s="5"/>
      <c r="P124" s="5"/>
      <c r="Q124" s="5" t="str">
        <f>IFERROR(__xludf.DUMMYFUNCTION("""COMPUTED_VALUE"""),"no")</f>
        <v>no</v>
      </c>
      <c r="R124" s="5" t="str">
        <f>IFERROR(__xludf.DUMMYFUNCTION("""COMPUTED_VALUE"""),"HiFi")</f>
        <v>HiFi</v>
      </c>
      <c r="S124" s="5" t="str">
        <f>IFERROR(__xludf.DUMMYFUNCTION("""COMPUTED_VALUE"""),"hifiasm_v0.16.1-r375")</f>
        <v>hifiasm_v0.16.1-r375</v>
      </c>
      <c r="T124" s="6" t="str">
        <f>IFERROR(__xludf.DUMMYFUNCTION("""COMPUTED_VALUE"""),"Individual")</f>
        <v>Individual</v>
      </c>
      <c r="U124" s="6">
        <f>IFERROR(__xludf.DUMMYFUNCTION("""COMPUTED_VALUE"""),2023.0)</f>
        <v>2023</v>
      </c>
      <c r="V124" s="6" t="str">
        <f>IFERROR(__xludf.DUMMYFUNCTION("""COMPUTED_VALUE"""),"yes")</f>
        <v>yes</v>
      </c>
      <c r="W124" s="6" t="str">
        <f>IFERROR(__xludf.DUMMYFUNCTION("""COMPUTED_VALUE"""),"Wlodzimierz")</f>
        <v>Wlodzimierz</v>
      </c>
      <c r="X124" s="5">
        <f>IFERROR(__xludf.DUMMYFUNCTION("""COMPUTED_VALUE"""),2023.0)</f>
        <v>2023</v>
      </c>
      <c r="Y124" s="5" t="str">
        <f>IFERROR(__xludf.DUMMYFUNCTION("""COMPUTED_VALUE"""),"Nature")</f>
        <v>Nature</v>
      </c>
      <c r="Z124" s="7" t="str">
        <f>IFERROR(__xludf.DUMMYFUNCTION("""COMPUTED_VALUE"""),"10.1038/s41586-023-06062-z")</f>
        <v>10.1038/s41586-023-06062-z</v>
      </c>
      <c r="AA124" s="7" t="str">
        <f>IFERROR(__xludf.DUMMYFUNCTION("""COMPUTED_VALUE"""),"https://www.nature.com/articles/s41586-023-06062-z")</f>
        <v>https://www.nature.com/articles/s41586-023-06062-z</v>
      </c>
      <c r="AB124" s="5"/>
    </row>
    <row r="125">
      <c r="A125" s="5">
        <f>IFERROR(__xludf.DUMMYFUNCTION("""COMPUTED_VALUE"""),100123.0)</f>
        <v>100123</v>
      </c>
      <c r="B125" s="5" t="str">
        <f>IFERROR(__xludf.DUMMYFUNCTION("""COMPUTED_VALUE"""),"IP-Hum-4")</f>
        <v>IP-Hum-4</v>
      </c>
      <c r="C125" s="5">
        <f>IFERROR(__xludf.DUMMYFUNCTION("""COMPUTED_VALUE"""),22067.0)</f>
        <v>22067</v>
      </c>
      <c r="D125" s="5"/>
      <c r="E125" s="5"/>
      <c r="F125" s="5">
        <f>IFERROR(__xludf.DUMMYFUNCTION("""COMPUTED_VALUE"""),1.0)</f>
        <v>1</v>
      </c>
      <c r="G125" s="5"/>
      <c r="H125" s="5"/>
      <c r="I125" s="5"/>
      <c r="J125" s="5"/>
      <c r="K125" s="5">
        <f>IFERROR(__xludf.DUMMYFUNCTION("""COMPUTED_VALUE"""),42.227184)</f>
        <v>42.227184</v>
      </c>
      <c r="L125" s="5">
        <f>IFERROR(__xludf.DUMMYFUNCTION("""COMPUTED_VALUE"""),-3.688887)</f>
        <v>-3.688887</v>
      </c>
      <c r="M125" s="5">
        <f>IFERROR(__xludf.DUMMYFUNCTION("""COMPUTED_VALUE"""),924.0)</f>
        <v>924</v>
      </c>
      <c r="N125" s="5">
        <f>IFERROR(__xludf.DUMMYFUNCTION("""COMPUTED_VALUE"""),11.0)</f>
        <v>11</v>
      </c>
      <c r="O125" s="5"/>
      <c r="P125" s="5"/>
      <c r="Q125" s="5" t="str">
        <f>IFERROR(__xludf.DUMMYFUNCTION("""COMPUTED_VALUE"""),"yes")</f>
        <v>yes</v>
      </c>
      <c r="R125" s="5" t="str">
        <f>IFERROR(__xludf.DUMMYFUNCTION("""COMPUTED_VALUE"""),"HiFi")</f>
        <v>HiFi</v>
      </c>
      <c r="S125" s="5" t="str">
        <f>IFERROR(__xludf.DUMMYFUNCTION("""COMPUTED_VALUE"""),"hifiasm_v0.16.1-r375")</f>
        <v>hifiasm_v0.16.1-r375</v>
      </c>
      <c r="T125" s="6" t="str">
        <f>IFERROR(__xludf.DUMMYFUNCTION("""COMPUTED_VALUE"""),"Individual")</f>
        <v>Individual</v>
      </c>
      <c r="U125" s="6">
        <f>IFERROR(__xludf.DUMMYFUNCTION("""COMPUTED_VALUE"""),2023.0)</f>
        <v>2023</v>
      </c>
      <c r="V125" s="6" t="str">
        <f>IFERROR(__xludf.DUMMYFUNCTION("""COMPUTED_VALUE"""),"yes")</f>
        <v>yes</v>
      </c>
      <c r="W125" s="6" t="str">
        <f>IFERROR(__xludf.DUMMYFUNCTION("""COMPUTED_VALUE"""),"Wlodzimierz")</f>
        <v>Wlodzimierz</v>
      </c>
      <c r="X125" s="5">
        <f>IFERROR(__xludf.DUMMYFUNCTION("""COMPUTED_VALUE"""),2023.0)</f>
        <v>2023</v>
      </c>
      <c r="Y125" s="5" t="str">
        <f>IFERROR(__xludf.DUMMYFUNCTION("""COMPUTED_VALUE"""),"Nature")</f>
        <v>Nature</v>
      </c>
      <c r="Z125" s="7" t="str">
        <f>IFERROR(__xludf.DUMMYFUNCTION("""COMPUTED_VALUE"""),"10.1038/s41586-023-06062-z")</f>
        <v>10.1038/s41586-023-06062-z</v>
      </c>
      <c r="AA125" s="7" t="str">
        <f>IFERROR(__xludf.DUMMYFUNCTION("""COMPUTED_VALUE"""),"https://www.nature.com/articles/s41586-023-06062-z")</f>
        <v>https://www.nature.com/articles/s41586-023-06062-z</v>
      </c>
      <c r="AB125" s="5"/>
    </row>
    <row r="126">
      <c r="A126" s="5">
        <f>IFERROR(__xludf.DUMMYFUNCTION("""COMPUTED_VALUE"""),100124.0)</f>
        <v>100124</v>
      </c>
      <c r="B126" s="5" t="str">
        <f>IFERROR(__xludf.DUMMYFUNCTION("""COMPUTED_VALUE"""),"IP-Las-0")</f>
        <v>IP-Las-0</v>
      </c>
      <c r="C126" s="5">
        <f>IFERROR(__xludf.DUMMYFUNCTION("""COMPUTED_VALUE"""),22068.0)</f>
        <v>22068</v>
      </c>
      <c r="D126" s="5"/>
      <c r="E126" s="5"/>
      <c r="F126" s="5">
        <f>IFERROR(__xludf.DUMMYFUNCTION("""COMPUTED_VALUE"""),1.0)</f>
        <v>1</v>
      </c>
      <c r="G126" s="5"/>
      <c r="H126" s="5"/>
      <c r="I126" s="5"/>
      <c r="J126" s="5" t="str">
        <f>IFERROR(__xludf.DUMMYFUNCTION("""COMPUTED_VALUE"""),"CS2110049")</f>
        <v>CS2110049</v>
      </c>
      <c r="K126" s="5">
        <f>IFERROR(__xludf.DUMMYFUNCTION("""COMPUTED_VALUE"""),40.568011)</f>
        <v>40.568011</v>
      </c>
      <c r="L126" s="5">
        <f>IFERROR(__xludf.DUMMYFUNCTION("""COMPUTED_VALUE"""),-4.152667)</f>
        <v>-4.152667</v>
      </c>
      <c r="M126" s="5">
        <f>IFERROR(__xludf.DUMMYFUNCTION("""COMPUTED_VALUE"""),1071.0)</f>
        <v>1071</v>
      </c>
      <c r="N126" s="5">
        <f>IFERROR(__xludf.DUMMYFUNCTION("""COMPUTED_VALUE"""),7.0)</f>
        <v>7</v>
      </c>
      <c r="O126" s="5"/>
      <c r="P126" s="5"/>
      <c r="Q126" s="5" t="str">
        <f>IFERROR(__xludf.DUMMYFUNCTION("""COMPUTED_VALUE"""),"yes")</f>
        <v>yes</v>
      </c>
      <c r="R126" s="5" t="str">
        <f>IFERROR(__xludf.DUMMYFUNCTION("""COMPUTED_VALUE"""),"HiFi")</f>
        <v>HiFi</v>
      </c>
      <c r="S126" s="5" t="str">
        <f>IFERROR(__xludf.DUMMYFUNCTION("""COMPUTED_VALUE"""),"hifiasm_v0.16.1-r375")</f>
        <v>hifiasm_v0.16.1-r375</v>
      </c>
      <c r="T126" s="6" t="str">
        <f>IFERROR(__xludf.DUMMYFUNCTION("""COMPUTED_VALUE"""),"Individual")</f>
        <v>Individual</v>
      </c>
      <c r="U126" s="6">
        <f>IFERROR(__xludf.DUMMYFUNCTION("""COMPUTED_VALUE"""),2024.0)</f>
        <v>2024</v>
      </c>
      <c r="V126" s="6" t="str">
        <f>IFERROR(__xludf.DUMMYFUNCTION("""COMPUTED_VALUE"""),"no")</f>
        <v>no</v>
      </c>
      <c r="W126" s="6" t="str">
        <f>IFERROR(__xludf.DUMMYFUNCTION("""COMPUTED_VALUE"""),"Rabanal")</f>
        <v>Rabanal</v>
      </c>
      <c r="X126" s="5"/>
      <c r="Y126" s="5" t="str">
        <f>IFERROR(__xludf.DUMMYFUNCTION("""COMPUTED_VALUE"""),"unpublished")</f>
        <v>unpublished</v>
      </c>
      <c r="Z126" s="5"/>
      <c r="AA126" s="5"/>
      <c r="AB126" s="5"/>
    </row>
    <row r="127">
      <c r="A127" s="5">
        <f>IFERROR(__xludf.DUMMYFUNCTION("""COMPUTED_VALUE"""),100125.0)</f>
        <v>100125</v>
      </c>
      <c r="B127" s="5" t="str">
        <f>IFERROR(__xludf.DUMMYFUNCTION("""COMPUTED_VALUE"""),"IP-Las-4")</f>
        <v>IP-Las-4</v>
      </c>
      <c r="C127" s="5">
        <f>IFERROR(__xludf.DUMMYFUNCTION("""COMPUTED_VALUE"""),22069.0)</f>
        <v>22069</v>
      </c>
      <c r="D127" s="5"/>
      <c r="E127" s="5"/>
      <c r="F127" s="5">
        <f>IFERROR(__xludf.DUMMYFUNCTION("""COMPUTED_VALUE"""),1.0)</f>
        <v>1</v>
      </c>
      <c r="G127" s="5"/>
      <c r="H127" s="5"/>
      <c r="I127" s="5"/>
      <c r="J127" s="5"/>
      <c r="K127" s="5">
        <f>IFERROR(__xludf.DUMMYFUNCTION("""COMPUTED_VALUE"""),40.568011)</f>
        <v>40.568011</v>
      </c>
      <c r="L127" s="5">
        <f>IFERROR(__xludf.DUMMYFUNCTION("""COMPUTED_VALUE"""),-4.152667)</f>
        <v>-4.152667</v>
      </c>
      <c r="M127" s="5">
        <f>IFERROR(__xludf.DUMMYFUNCTION("""COMPUTED_VALUE"""),1071.0)</f>
        <v>1071</v>
      </c>
      <c r="N127" s="5">
        <f>IFERROR(__xludf.DUMMYFUNCTION("""COMPUTED_VALUE"""),10.0)</f>
        <v>10</v>
      </c>
      <c r="O127" s="5"/>
      <c r="P127" s="5"/>
      <c r="Q127" s="5" t="str">
        <f>IFERROR(__xludf.DUMMYFUNCTION("""COMPUTED_VALUE"""),"yes")</f>
        <v>yes</v>
      </c>
      <c r="R127" s="5" t="str">
        <f>IFERROR(__xludf.DUMMYFUNCTION("""COMPUTED_VALUE"""),"HiFi")</f>
        <v>HiFi</v>
      </c>
      <c r="S127" s="5" t="str">
        <f>IFERROR(__xludf.DUMMYFUNCTION("""COMPUTED_VALUE"""),"hifiasm_v0.16.1-r375")</f>
        <v>hifiasm_v0.16.1-r375</v>
      </c>
      <c r="T127" s="6" t="str">
        <f>IFERROR(__xludf.DUMMYFUNCTION("""COMPUTED_VALUE"""),"Individual")</f>
        <v>Individual</v>
      </c>
      <c r="U127" s="6">
        <f>IFERROR(__xludf.DUMMYFUNCTION("""COMPUTED_VALUE"""),2024.0)</f>
        <v>2024</v>
      </c>
      <c r="V127" s="6" t="str">
        <f>IFERROR(__xludf.DUMMYFUNCTION("""COMPUTED_VALUE"""),"no")</f>
        <v>no</v>
      </c>
      <c r="W127" s="6" t="str">
        <f>IFERROR(__xludf.DUMMYFUNCTION("""COMPUTED_VALUE"""),"Rabanal")</f>
        <v>Rabanal</v>
      </c>
      <c r="X127" s="5"/>
      <c r="Y127" s="5" t="str">
        <f>IFERROR(__xludf.DUMMYFUNCTION("""COMPUTED_VALUE"""),"unpublished")</f>
        <v>unpublished</v>
      </c>
      <c r="Z127" s="5"/>
      <c r="AA127" s="5"/>
      <c r="AB127" s="5"/>
    </row>
    <row r="128">
      <c r="A128" s="5">
        <f>IFERROR(__xludf.DUMMYFUNCTION("""COMPUTED_VALUE"""),100126.0)</f>
        <v>100126</v>
      </c>
      <c r="B128" s="5" t="str">
        <f>IFERROR(__xludf.DUMMYFUNCTION("""COMPUTED_VALUE"""),"IP-Ldd-0")</f>
        <v>IP-Ldd-0</v>
      </c>
      <c r="C128" s="5">
        <f>IFERROR(__xludf.DUMMYFUNCTION("""COMPUTED_VALUE"""),9553.0)</f>
        <v>9553</v>
      </c>
      <c r="D128" s="5"/>
      <c r="E128" s="5"/>
      <c r="F128" s="5">
        <f>IFERROR(__xludf.DUMMYFUNCTION("""COMPUTED_VALUE"""),1.0)</f>
        <v>1</v>
      </c>
      <c r="G128" s="5"/>
      <c r="H128" s="5"/>
      <c r="I128" s="5"/>
      <c r="J128" s="5" t="str">
        <f>IFERROR(__xludf.DUMMYFUNCTION("""COMPUTED_VALUE"""),"CS77012")</f>
        <v>CS77012</v>
      </c>
      <c r="K128" s="5">
        <f>IFERROR(__xludf.DUMMYFUNCTION("""COMPUTED_VALUE"""),41.576141)</f>
        <v>41.576141</v>
      </c>
      <c r="L128" s="5">
        <f>IFERROR(__xludf.DUMMYFUNCTION("""COMPUTED_VALUE"""),-4.70746)</f>
        <v>-4.70746</v>
      </c>
      <c r="M128" s="5">
        <f>IFERROR(__xludf.DUMMYFUNCTION("""COMPUTED_VALUE"""),712.0)</f>
        <v>712</v>
      </c>
      <c r="N128" s="5">
        <f>IFERROR(__xludf.DUMMYFUNCTION("""COMPUTED_VALUE"""),18.0)</f>
        <v>18</v>
      </c>
      <c r="O128" s="5"/>
      <c r="P128" s="5"/>
      <c r="Q128" s="5" t="str">
        <f>IFERROR(__xludf.DUMMYFUNCTION("""COMPUTED_VALUE"""),"no")</f>
        <v>no</v>
      </c>
      <c r="R128" s="5" t="str">
        <f>IFERROR(__xludf.DUMMYFUNCTION("""COMPUTED_VALUE"""),"HiFi")</f>
        <v>HiFi</v>
      </c>
      <c r="S128" s="5" t="str">
        <f>IFERROR(__xludf.DUMMYFUNCTION("""COMPUTED_VALUE"""),"hifiasm_v0.16.1-r375")</f>
        <v>hifiasm_v0.16.1-r375</v>
      </c>
      <c r="T128" s="6" t="str">
        <f>IFERROR(__xludf.DUMMYFUNCTION("""COMPUTED_VALUE"""),"Individual")</f>
        <v>Individual</v>
      </c>
      <c r="U128" s="6">
        <f>IFERROR(__xludf.DUMMYFUNCTION("""COMPUTED_VALUE"""),2024.0)</f>
        <v>2024</v>
      </c>
      <c r="V128" s="6" t="str">
        <f>IFERROR(__xludf.DUMMYFUNCTION("""COMPUTED_VALUE"""),"no")</f>
        <v>no</v>
      </c>
      <c r="W128" s="6" t="str">
        <f>IFERROR(__xludf.DUMMYFUNCTION("""COMPUTED_VALUE"""),"Rabanal")</f>
        <v>Rabanal</v>
      </c>
      <c r="X128" s="5"/>
      <c r="Y128" s="5" t="str">
        <f>IFERROR(__xludf.DUMMYFUNCTION("""COMPUTED_VALUE"""),"unpublished")</f>
        <v>unpublished</v>
      </c>
      <c r="Z128" s="5"/>
      <c r="AA128" s="5"/>
      <c r="AB128" s="5"/>
    </row>
    <row r="129">
      <c r="A129" s="5">
        <f>IFERROR(__xludf.DUMMYFUNCTION("""COMPUTED_VALUE"""),100127.0)</f>
        <v>100127</v>
      </c>
      <c r="B129" s="5" t="str">
        <f>IFERROR(__xludf.DUMMYFUNCTION("""COMPUTED_VALUE"""),"IP-Ldd-2")</f>
        <v>IP-Ldd-2</v>
      </c>
      <c r="C129" s="5">
        <f>IFERROR(__xludf.DUMMYFUNCTION("""COMPUTED_VALUE"""),22070.0)</f>
        <v>22070</v>
      </c>
      <c r="D129" s="5"/>
      <c r="E129" s="5"/>
      <c r="F129" s="5">
        <f>IFERROR(__xludf.DUMMYFUNCTION("""COMPUTED_VALUE"""),1.0)</f>
        <v>1</v>
      </c>
      <c r="G129" s="5"/>
      <c r="H129" s="5"/>
      <c r="I129" s="5"/>
      <c r="J129" s="5"/>
      <c r="K129" s="5">
        <f>IFERROR(__xludf.DUMMYFUNCTION("""COMPUTED_VALUE"""),41.576141)</f>
        <v>41.576141</v>
      </c>
      <c r="L129" s="5">
        <f>IFERROR(__xludf.DUMMYFUNCTION("""COMPUTED_VALUE"""),-4.70746)</f>
        <v>-4.70746</v>
      </c>
      <c r="M129" s="5">
        <f>IFERROR(__xludf.DUMMYFUNCTION("""COMPUTED_VALUE"""),712.0)</f>
        <v>712</v>
      </c>
      <c r="N129" s="5">
        <f>IFERROR(__xludf.DUMMYFUNCTION("""COMPUTED_VALUE"""),8.0)</f>
        <v>8</v>
      </c>
      <c r="O129" s="5"/>
      <c r="P129" s="5"/>
      <c r="Q129" s="5" t="str">
        <f>IFERROR(__xludf.DUMMYFUNCTION("""COMPUTED_VALUE"""),"yes")</f>
        <v>yes</v>
      </c>
      <c r="R129" s="5" t="str">
        <f>IFERROR(__xludf.DUMMYFUNCTION("""COMPUTED_VALUE"""),"HiFi")</f>
        <v>HiFi</v>
      </c>
      <c r="S129" s="5" t="str">
        <f>IFERROR(__xludf.DUMMYFUNCTION("""COMPUTED_VALUE"""),"hifiasm_v0.16.1-r375")</f>
        <v>hifiasm_v0.16.1-r375</v>
      </c>
      <c r="T129" s="6" t="str">
        <f>IFERROR(__xludf.DUMMYFUNCTION("""COMPUTED_VALUE"""),"Individual")</f>
        <v>Individual</v>
      </c>
      <c r="U129" s="6">
        <f>IFERROR(__xludf.DUMMYFUNCTION("""COMPUTED_VALUE"""),2024.0)</f>
        <v>2024</v>
      </c>
      <c r="V129" s="6" t="str">
        <f>IFERROR(__xludf.DUMMYFUNCTION("""COMPUTED_VALUE"""),"no")</f>
        <v>no</v>
      </c>
      <c r="W129" s="6" t="str">
        <f>IFERROR(__xludf.DUMMYFUNCTION("""COMPUTED_VALUE"""),"Rabanal")</f>
        <v>Rabanal</v>
      </c>
      <c r="X129" s="5"/>
      <c r="Y129" s="5" t="str">
        <f>IFERROR(__xludf.DUMMYFUNCTION("""COMPUTED_VALUE"""),"unpublished")</f>
        <v>unpublished</v>
      </c>
      <c r="Z129" s="5"/>
      <c r="AA129" s="5"/>
      <c r="AB129" s="5"/>
    </row>
    <row r="130">
      <c r="A130" s="5">
        <f>IFERROR(__xludf.DUMMYFUNCTION("""COMPUTED_VALUE"""),100128.0)</f>
        <v>100128</v>
      </c>
      <c r="B130" s="5" t="str">
        <f>IFERROR(__xludf.DUMMYFUNCTION("""COMPUTED_VALUE"""),"IP-Lor-0")</f>
        <v>IP-Lor-0</v>
      </c>
      <c r="C130" s="5">
        <f>IFERROR(__xludf.DUMMYFUNCTION("""COMPUTED_VALUE"""),22071.0)</f>
        <v>22071</v>
      </c>
      <c r="D130" s="5"/>
      <c r="E130" s="5"/>
      <c r="F130" s="5">
        <f>IFERROR(__xludf.DUMMYFUNCTION("""COMPUTED_VALUE"""),1.0)</f>
        <v>1</v>
      </c>
      <c r="G130" s="5"/>
      <c r="H130" s="5"/>
      <c r="I130" s="5"/>
      <c r="J130" s="5" t="str">
        <f>IFERROR(__xludf.DUMMYFUNCTION("""COMPUTED_VALUE"""),"CS2110053")</f>
        <v>CS2110053</v>
      </c>
      <c r="K130" s="5">
        <f>IFERROR(__xludf.DUMMYFUNCTION("""COMPUTED_VALUE"""),38.860067)</f>
        <v>38.860067</v>
      </c>
      <c r="L130" s="5">
        <f>IFERROR(__xludf.DUMMYFUNCTION("""COMPUTED_VALUE"""),-0.263499)</f>
        <v>-0.263499</v>
      </c>
      <c r="M130" s="5">
        <f>IFERROR(__xludf.DUMMYFUNCTION("""COMPUTED_VALUE"""),922.0)</f>
        <v>922</v>
      </c>
      <c r="N130" s="5">
        <f>IFERROR(__xludf.DUMMYFUNCTION("""COMPUTED_VALUE"""),10.0)</f>
        <v>10</v>
      </c>
      <c r="O130" s="5"/>
      <c r="P130" s="5"/>
      <c r="Q130" s="5" t="str">
        <f>IFERROR(__xludf.DUMMYFUNCTION("""COMPUTED_VALUE"""),"yes")</f>
        <v>yes</v>
      </c>
      <c r="R130" s="5" t="str">
        <f>IFERROR(__xludf.DUMMYFUNCTION("""COMPUTED_VALUE"""),"HiFi")</f>
        <v>HiFi</v>
      </c>
      <c r="S130" s="5" t="str">
        <f>IFERROR(__xludf.DUMMYFUNCTION("""COMPUTED_VALUE"""),"hifiasm_v0.16.1-r375")</f>
        <v>hifiasm_v0.16.1-r375</v>
      </c>
      <c r="T130" s="6" t="str">
        <f>IFERROR(__xludf.DUMMYFUNCTION("""COMPUTED_VALUE"""),"Individual")</f>
        <v>Individual</v>
      </c>
      <c r="U130" s="6">
        <f>IFERROR(__xludf.DUMMYFUNCTION("""COMPUTED_VALUE"""),2024.0)</f>
        <v>2024</v>
      </c>
      <c r="V130" s="6" t="str">
        <f>IFERROR(__xludf.DUMMYFUNCTION("""COMPUTED_VALUE"""),"no")</f>
        <v>no</v>
      </c>
      <c r="W130" s="6" t="str">
        <f>IFERROR(__xludf.DUMMYFUNCTION("""COMPUTED_VALUE"""),"Rabanal")</f>
        <v>Rabanal</v>
      </c>
      <c r="X130" s="5"/>
      <c r="Y130" s="5" t="str">
        <f>IFERROR(__xludf.DUMMYFUNCTION("""COMPUTED_VALUE"""),"unpublished")</f>
        <v>unpublished</v>
      </c>
      <c r="Z130" s="5"/>
      <c r="AA130" s="5"/>
      <c r="AB130" s="5"/>
    </row>
    <row r="131">
      <c r="A131" s="5">
        <f>IFERROR(__xludf.DUMMYFUNCTION("""COMPUTED_VALUE"""),100129.0)</f>
        <v>100129</v>
      </c>
      <c r="B131" s="5" t="str">
        <f>IFERROR(__xludf.DUMMYFUNCTION("""COMPUTED_VALUE"""),"IP-Lor-16")</f>
        <v>IP-Lor-16</v>
      </c>
      <c r="C131" s="5">
        <f>IFERROR(__xludf.DUMMYFUNCTION("""COMPUTED_VALUE"""),22072.0)</f>
        <v>22072</v>
      </c>
      <c r="D131" s="5"/>
      <c r="E131" s="5"/>
      <c r="F131" s="5">
        <f>IFERROR(__xludf.DUMMYFUNCTION("""COMPUTED_VALUE"""),1.0)</f>
        <v>1</v>
      </c>
      <c r="G131" s="5"/>
      <c r="H131" s="5"/>
      <c r="I131" s="5"/>
      <c r="J131" s="5"/>
      <c r="K131" s="5">
        <f>IFERROR(__xludf.DUMMYFUNCTION("""COMPUTED_VALUE"""),38.860067)</f>
        <v>38.860067</v>
      </c>
      <c r="L131" s="5">
        <f>IFERROR(__xludf.DUMMYFUNCTION("""COMPUTED_VALUE"""),-0.263499)</f>
        <v>-0.263499</v>
      </c>
      <c r="M131" s="5">
        <f>IFERROR(__xludf.DUMMYFUNCTION("""COMPUTED_VALUE"""),922.0)</f>
        <v>922</v>
      </c>
      <c r="N131" s="5">
        <f>IFERROR(__xludf.DUMMYFUNCTION("""COMPUTED_VALUE"""),5.0)</f>
        <v>5</v>
      </c>
      <c r="O131" s="5"/>
      <c r="P131" s="5"/>
      <c r="Q131" s="5" t="str">
        <f>IFERROR(__xludf.DUMMYFUNCTION("""COMPUTED_VALUE"""),"yes")</f>
        <v>yes</v>
      </c>
      <c r="R131" s="5" t="str">
        <f>IFERROR(__xludf.DUMMYFUNCTION("""COMPUTED_VALUE"""),"HiFi")</f>
        <v>HiFi</v>
      </c>
      <c r="S131" s="5" t="str">
        <f>IFERROR(__xludf.DUMMYFUNCTION("""COMPUTED_VALUE"""),"hifiasm_v0.16.1-r375")</f>
        <v>hifiasm_v0.16.1-r375</v>
      </c>
      <c r="T131" s="6" t="str">
        <f>IFERROR(__xludf.DUMMYFUNCTION("""COMPUTED_VALUE"""),"Individual")</f>
        <v>Individual</v>
      </c>
      <c r="U131" s="6">
        <f>IFERROR(__xludf.DUMMYFUNCTION("""COMPUTED_VALUE"""),2023.0)</f>
        <v>2023</v>
      </c>
      <c r="V131" s="6" t="str">
        <f>IFERROR(__xludf.DUMMYFUNCTION("""COMPUTED_VALUE"""),"yes")</f>
        <v>yes</v>
      </c>
      <c r="W131" s="6" t="str">
        <f>IFERROR(__xludf.DUMMYFUNCTION("""COMPUTED_VALUE"""),"Wlodzimierz")</f>
        <v>Wlodzimierz</v>
      </c>
      <c r="X131" s="5">
        <f>IFERROR(__xludf.DUMMYFUNCTION("""COMPUTED_VALUE"""),2023.0)</f>
        <v>2023</v>
      </c>
      <c r="Y131" s="5" t="str">
        <f>IFERROR(__xludf.DUMMYFUNCTION("""COMPUTED_VALUE"""),"Nature")</f>
        <v>Nature</v>
      </c>
      <c r="Z131" s="7" t="str">
        <f>IFERROR(__xludf.DUMMYFUNCTION("""COMPUTED_VALUE"""),"10.1038/s41586-023-06062-z")</f>
        <v>10.1038/s41586-023-06062-z</v>
      </c>
      <c r="AA131" s="7" t="str">
        <f>IFERROR(__xludf.DUMMYFUNCTION("""COMPUTED_VALUE"""),"https://www.nature.com/articles/s41586-023-06062-z")</f>
        <v>https://www.nature.com/articles/s41586-023-06062-z</v>
      </c>
      <c r="AB131" s="5"/>
    </row>
    <row r="132">
      <c r="A132" s="5">
        <f>IFERROR(__xludf.DUMMYFUNCTION("""COMPUTED_VALUE"""),100130.0)</f>
        <v>100130</v>
      </c>
      <c r="B132" s="8" t="str">
        <f>IFERROR(__xludf.DUMMYFUNCTION("""COMPUTED_VALUE"""),"IP-Mar-1")</f>
        <v>IP-Mar-1</v>
      </c>
      <c r="C132" s="8" t="str">
        <f>IFERROR(__xludf.DUMMYFUNCTION("""COMPUTED_VALUE"""),"9555")</f>
        <v>9555</v>
      </c>
      <c r="D132" s="5"/>
      <c r="E132" s="5"/>
      <c r="F132" s="5">
        <f>IFERROR(__xludf.DUMMYFUNCTION("""COMPUTED_VALUE"""),1.0)</f>
        <v>1</v>
      </c>
      <c r="G132" s="5"/>
      <c r="H132" s="5"/>
      <c r="I132" s="5"/>
      <c r="J132" s="5" t="str">
        <f>IFERROR(__xludf.DUMMYFUNCTION("""COMPUTED_VALUE"""),"CS77068")</f>
        <v>CS77068</v>
      </c>
      <c r="K132" s="8" t="str">
        <f>IFERROR(__xludf.DUMMYFUNCTION("""COMPUTED_VALUE"""),"39.581325")</f>
        <v>39.581325</v>
      </c>
      <c r="L132" s="8" t="str">
        <f>IFERROR(__xludf.DUMMYFUNCTION("""COMPUTED_VALUE"""),"-3.931648")</f>
        <v>-3.931648</v>
      </c>
      <c r="M132" s="5">
        <f>IFERROR(__xludf.DUMMYFUNCTION("""COMPUTED_VALUE"""),1030.0)</f>
        <v>1030</v>
      </c>
      <c r="N132" s="5">
        <f>IFERROR(__xludf.DUMMYFUNCTION("""COMPUTED_VALUE"""),3.0)</f>
        <v>3</v>
      </c>
      <c r="O132" s="5"/>
      <c r="P132" s="5"/>
      <c r="Q132" s="5" t="str">
        <f>IFERROR(__xludf.DUMMYFUNCTION("""COMPUTED_VALUE"""),"yes")</f>
        <v>yes</v>
      </c>
      <c r="R132" s="5" t="str">
        <f>IFERROR(__xludf.DUMMYFUNCTION("""COMPUTED_VALUE"""),"HiFi")</f>
        <v>HiFi</v>
      </c>
      <c r="S132" s="5" t="str">
        <f>IFERROR(__xludf.DUMMYFUNCTION("""COMPUTED_VALUE"""),"hifiasm_v0.16.1-r375")</f>
        <v>hifiasm_v0.16.1-r375</v>
      </c>
      <c r="T132" s="6" t="str">
        <f>IFERROR(__xludf.DUMMYFUNCTION("""COMPUTED_VALUE"""),"Individual")</f>
        <v>Individual</v>
      </c>
      <c r="U132" s="6">
        <f>IFERROR(__xludf.DUMMYFUNCTION("""COMPUTED_VALUE"""),2024.0)</f>
        <v>2024</v>
      </c>
      <c r="V132" s="6" t="str">
        <f>IFERROR(__xludf.DUMMYFUNCTION("""COMPUTED_VALUE"""),"no")</f>
        <v>no</v>
      </c>
      <c r="W132" s="6" t="str">
        <f>IFERROR(__xludf.DUMMYFUNCTION("""COMPUTED_VALUE"""),"Rabanal")</f>
        <v>Rabanal</v>
      </c>
      <c r="X132" s="5"/>
      <c r="Y132" s="5" t="str">
        <f>IFERROR(__xludf.DUMMYFUNCTION("""COMPUTED_VALUE"""),"unpublished")</f>
        <v>unpublished</v>
      </c>
      <c r="Z132" s="5"/>
      <c r="AA132" s="5"/>
      <c r="AB132" s="5"/>
    </row>
    <row r="133">
      <c r="A133" s="5">
        <f>IFERROR(__xludf.DUMMYFUNCTION("""COMPUTED_VALUE"""),100131.0)</f>
        <v>100131</v>
      </c>
      <c r="B133" s="8" t="str">
        <f>IFERROR(__xludf.DUMMYFUNCTION("""COMPUTED_VALUE"""),"IP-Mar-12")</f>
        <v>IP-Mar-12</v>
      </c>
      <c r="C133" s="5">
        <f>IFERROR(__xludf.DUMMYFUNCTION("""COMPUTED_VALUE"""),22073.0)</f>
        <v>22073</v>
      </c>
      <c r="D133" s="5"/>
      <c r="E133" s="5"/>
      <c r="F133" s="5">
        <f>IFERROR(__xludf.DUMMYFUNCTION("""COMPUTED_VALUE"""),1.0)</f>
        <v>1</v>
      </c>
      <c r="G133" s="5"/>
      <c r="H133" s="5"/>
      <c r="I133" s="5"/>
      <c r="J133" s="5"/>
      <c r="K133" s="8" t="str">
        <f>IFERROR(__xludf.DUMMYFUNCTION("""COMPUTED_VALUE"""),"39.581325")</f>
        <v>39.581325</v>
      </c>
      <c r="L133" s="8" t="str">
        <f>IFERROR(__xludf.DUMMYFUNCTION("""COMPUTED_VALUE"""),"-3.931648")</f>
        <v>-3.931648</v>
      </c>
      <c r="M133" s="5">
        <f>IFERROR(__xludf.DUMMYFUNCTION("""COMPUTED_VALUE"""),1030.0)</f>
        <v>1030</v>
      </c>
      <c r="N133" s="5">
        <f>IFERROR(__xludf.DUMMYFUNCTION("""COMPUTED_VALUE"""),11.0)</f>
        <v>11</v>
      </c>
      <c r="O133" s="5"/>
      <c r="P133" s="5"/>
      <c r="Q133" s="5" t="str">
        <f>IFERROR(__xludf.DUMMYFUNCTION("""COMPUTED_VALUE"""),"yes")</f>
        <v>yes</v>
      </c>
      <c r="R133" s="5" t="str">
        <f>IFERROR(__xludf.DUMMYFUNCTION("""COMPUTED_VALUE"""),"HiFi")</f>
        <v>HiFi</v>
      </c>
      <c r="S133" s="5" t="str">
        <f>IFERROR(__xludf.DUMMYFUNCTION("""COMPUTED_VALUE"""),"hifiasm_v0.16.1-r375")</f>
        <v>hifiasm_v0.16.1-r375</v>
      </c>
      <c r="T133" s="6" t="str">
        <f>IFERROR(__xludf.DUMMYFUNCTION("""COMPUTED_VALUE"""),"Individual")</f>
        <v>Individual</v>
      </c>
      <c r="U133" s="6">
        <f>IFERROR(__xludf.DUMMYFUNCTION("""COMPUTED_VALUE"""),2024.0)</f>
        <v>2024</v>
      </c>
      <c r="V133" s="6" t="str">
        <f>IFERROR(__xludf.DUMMYFUNCTION("""COMPUTED_VALUE"""),"no")</f>
        <v>no</v>
      </c>
      <c r="W133" s="6" t="str">
        <f>IFERROR(__xludf.DUMMYFUNCTION("""COMPUTED_VALUE"""),"Rabanal")</f>
        <v>Rabanal</v>
      </c>
      <c r="X133" s="5"/>
      <c r="Y133" s="5" t="str">
        <f>IFERROR(__xludf.DUMMYFUNCTION("""COMPUTED_VALUE"""),"unpublished")</f>
        <v>unpublished</v>
      </c>
      <c r="Z133" s="5"/>
      <c r="AA133" s="5"/>
      <c r="AB133" s="5"/>
    </row>
    <row r="134">
      <c r="A134" s="5">
        <f>IFERROR(__xludf.DUMMYFUNCTION("""COMPUTED_VALUE"""),100132.0)</f>
        <v>100132</v>
      </c>
      <c r="B134" s="5" t="str">
        <f>IFERROR(__xludf.DUMMYFUNCTION("""COMPUTED_VALUE"""),"IP-Mdc-0")</f>
        <v>IP-Mdc-0</v>
      </c>
      <c r="C134" s="5">
        <f>IFERROR(__xludf.DUMMYFUNCTION("""COMPUTED_VALUE"""),9865.0)</f>
        <v>9865</v>
      </c>
      <c r="D134" s="5"/>
      <c r="E134" s="5"/>
      <c r="F134" s="5">
        <f>IFERROR(__xludf.DUMMYFUNCTION("""COMPUTED_VALUE"""),1.0)</f>
        <v>1</v>
      </c>
      <c r="G134" s="5"/>
      <c r="H134" s="5"/>
      <c r="I134" s="5"/>
      <c r="J134" s="5" t="str">
        <f>IFERROR(__xludf.DUMMYFUNCTION("""COMPUTED_VALUE"""),"CS2110058")</f>
        <v>CS2110058</v>
      </c>
      <c r="K134" s="5">
        <f>IFERROR(__xludf.DUMMYFUNCTION("""COMPUTED_VALUE"""),38.874341)</f>
        <v>38.874341</v>
      </c>
      <c r="L134" s="5">
        <f>IFERROR(__xludf.DUMMYFUNCTION("""COMPUTED_VALUE"""),-3.52962)</f>
        <v>-3.52962</v>
      </c>
      <c r="M134" s="5">
        <f>IFERROR(__xludf.DUMMYFUNCTION("""COMPUTED_VALUE"""),725.0)</f>
        <v>725</v>
      </c>
      <c r="N134" s="5">
        <f>IFERROR(__xludf.DUMMYFUNCTION("""COMPUTED_VALUE"""),9.0)</f>
        <v>9</v>
      </c>
      <c r="O134" s="5"/>
      <c r="P134" s="5"/>
      <c r="Q134" s="5" t="str">
        <f>IFERROR(__xludf.DUMMYFUNCTION("""COMPUTED_VALUE"""),"yes")</f>
        <v>yes</v>
      </c>
      <c r="R134" s="5" t="str">
        <f>IFERROR(__xludf.DUMMYFUNCTION("""COMPUTED_VALUE"""),"HiFi")</f>
        <v>HiFi</v>
      </c>
      <c r="S134" s="5" t="str">
        <f>IFERROR(__xludf.DUMMYFUNCTION("""COMPUTED_VALUE"""),"hifiasm_v0.16.1-r375")</f>
        <v>hifiasm_v0.16.1-r375</v>
      </c>
      <c r="T134" s="6" t="str">
        <f>IFERROR(__xludf.DUMMYFUNCTION("""COMPUTED_VALUE"""),"Individual")</f>
        <v>Individual</v>
      </c>
      <c r="U134" s="6">
        <f>IFERROR(__xludf.DUMMYFUNCTION("""COMPUTED_VALUE"""),2024.0)</f>
        <v>2024</v>
      </c>
      <c r="V134" s="6" t="str">
        <f>IFERROR(__xludf.DUMMYFUNCTION("""COMPUTED_VALUE"""),"no")</f>
        <v>no</v>
      </c>
      <c r="W134" s="6" t="str">
        <f>IFERROR(__xludf.DUMMYFUNCTION("""COMPUTED_VALUE"""),"Rabanal")</f>
        <v>Rabanal</v>
      </c>
      <c r="X134" s="5"/>
      <c r="Y134" s="5" t="str">
        <f>IFERROR(__xludf.DUMMYFUNCTION("""COMPUTED_VALUE"""),"unpublished")</f>
        <v>unpublished</v>
      </c>
      <c r="Z134" s="5"/>
      <c r="AA134" s="5"/>
      <c r="AB134" s="5"/>
    </row>
    <row r="135">
      <c r="A135" s="5">
        <f>IFERROR(__xludf.DUMMYFUNCTION("""COMPUTED_VALUE"""),100133.0)</f>
        <v>100133</v>
      </c>
      <c r="B135" s="5" t="str">
        <f>IFERROR(__xludf.DUMMYFUNCTION("""COMPUTED_VALUE"""),"IP-Mdc-14")</f>
        <v>IP-Mdc-14</v>
      </c>
      <c r="C135" s="5">
        <f>IFERROR(__xludf.DUMMYFUNCTION("""COMPUTED_VALUE"""),22074.0)</f>
        <v>22074</v>
      </c>
      <c r="D135" s="5"/>
      <c r="E135" s="5"/>
      <c r="F135" s="5">
        <f>IFERROR(__xludf.DUMMYFUNCTION("""COMPUTED_VALUE"""),1.0)</f>
        <v>1</v>
      </c>
      <c r="G135" s="5"/>
      <c r="H135" s="5"/>
      <c r="I135" s="5"/>
      <c r="J135" s="5"/>
      <c r="K135" s="5">
        <f>IFERROR(__xludf.DUMMYFUNCTION("""COMPUTED_VALUE"""),38.874341)</f>
        <v>38.874341</v>
      </c>
      <c r="L135" s="5">
        <f>IFERROR(__xludf.DUMMYFUNCTION("""COMPUTED_VALUE"""),-3.52962)</f>
        <v>-3.52962</v>
      </c>
      <c r="M135" s="5">
        <f>IFERROR(__xludf.DUMMYFUNCTION("""COMPUTED_VALUE"""),725.0)</f>
        <v>725</v>
      </c>
      <c r="N135" s="5">
        <f>IFERROR(__xludf.DUMMYFUNCTION("""COMPUTED_VALUE"""),6.0)</f>
        <v>6</v>
      </c>
      <c r="O135" s="5"/>
      <c r="P135" s="5"/>
      <c r="Q135" s="5" t="str">
        <f>IFERROR(__xludf.DUMMYFUNCTION("""COMPUTED_VALUE"""),"yes")</f>
        <v>yes</v>
      </c>
      <c r="R135" s="5" t="str">
        <f>IFERROR(__xludf.DUMMYFUNCTION("""COMPUTED_VALUE"""),"HiFi")</f>
        <v>HiFi</v>
      </c>
      <c r="S135" s="5" t="str">
        <f>IFERROR(__xludf.DUMMYFUNCTION("""COMPUTED_VALUE"""),"hifiasm_v0.16.1-r375")</f>
        <v>hifiasm_v0.16.1-r375</v>
      </c>
      <c r="T135" s="6" t="str">
        <f>IFERROR(__xludf.DUMMYFUNCTION("""COMPUTED_VALUE"""),"Individual")</f>
        <v>Individual</v>
      </c>
      <c r="U135" s="6">
        <f>IFERROR(__xludf.DUMMYFUNCTION("""COMPUTED_VALUE"""),2023.0)</f>
        <v>2023</v>
      </c>
      <c r="V135" s="6" t="str">
        <f>IFERROR(__xludf.DUMMYFUNCTION("""COMPUTED_VALUE"""),"yes")</f>
        <v>yes</v>
      </c>
      <c r="W135" s="6" t="str">
        <f>IFERROR(__xludf.DUMMYFUNCTION("""COMPUTED_VALUE"""),"Wlodzimierz")</f>
        <v>Wlodzimierz</v>
      </c>
      <c r="X135" s="5">
        <f>IFERROR(__xludf.DUMMYFUNCTION("""COMPUTED_VALUE"""),2023.0)</f>
        <v>2023</v>
      </c>
      <c r="Y135" s="5" t="str">
        <f>IFERROR(__xludf.DUMMYFUNCTION("""COMPUTED_VALUE"""),"Nature")</f>
        <v>Nature</v>
      </c>
      <c r="Z135" s="7" t="str">
        <f>IFERROR(__xludf.DUMMYFUNCTION("""COMPUTED_VALUE"""),"10.1038/s41586-023-06062-z")</f>
        <v>10.1038/s41586-023-06062-z</v>
      </c>
      <c r="AA135" s="7" t="str">
        <f>IFERROR(__xludf.DUMMYFUNCTION("""COMPUTED_VALUE"""),"https://www.nature.com/articles/s41586-023-06062-z")</f>
        <v>https://www.nature.com/articles/s41586-023-06062-z</v>
      </c>
      <c r="AB135" s="5"/>
    </row>
    <row r="136">
      <c r="A136" s="5">
        <f>IFERROR(__xludf.DUMMYFUNCTION("""COMPUTED_VALUE"""),100134.0)</f>
        <v>100134</v>
      </c>
      <c r="B136" s="5" t="str">
        <f>IFERROR(__xludf.DUMMYFUNCTION("""COMPUTED_VALUE"""),"IP-Med-0")</f>
        <v>IP-Med-0</v>
      </c>
      <c r="C136" s="5">
        <f>IFERROR(__xludf.DUMMYFUNCTION("""COMPUTED_VALUE"""),22075.0)</f>
        <v>22075</v>
      </c>
      <c r="D136" s="5"/>
      <c r="E136" s="5"/>
      <c r="F136" s="5">
        <f>IFERROR(__xludf.DUMMYFUNCTION("""COMPUTED_VALUE"""),1.0)</f>
        <v>1</v>
      </c>
      <c r="G136" s="5"/>
      <c r="H136" s="5"/>
      <c r="I136" s="5"/>
      <c r="J136" s="5" t="str">
        <f>IFERROR(__xludf.DUMMYFUNCTION("""COMPUTED_VALUE"""),"CS799270")</f>
        <v>CS799270</v>
      </c>
      <c r="K136" s="5">
        <f>IFERROR(__xludf.DUMMYFUNCTION("""COMPUTED_VALUE"""),42.455239)</f>
        <v>42.455239</v>
      </c>
      <c r="L136" s="5">
        <f>IFERROR(__xludf.DUMMYFUNCTION("""COMPUTED_VALUE"""),-6.765742)</f>
        <v>-6.765742</v>
      </c>
      <c r="M136" s="5">
        <f>IFERROR(__xludf.DUMMYFUNCTION("""COMPUTED_VALUE"""),771.0)</f>
        <v>771</v>
      </c>
      <c r="N136" s="5">
        <f>IFERROR(__xludf.DUMMYFUNCTION("""COMPUTED_VALUE"""),9.0)</f>
        <v>9</v>
      </c>
      <c r="O136" s="5"/>
      <c r="P136" s="5"/>
      <c r="Q136" s="5" t="str">
        <f>IFERROR(__xludf.DUMMYFUNCTION("""COMPUTED_VALUE"""),"no")</f>
        <v>no</v>
      </c>
      <c r="R136" s="5" t="str">
        <f>IFERROR(__xludf.DUMMYFUNCTION("""COMPUTED_VALUE"""),"HiFi")</f>
        <v>HiFi</v>
      </c>
      <c r="S136" s="5" t="str">
        <f>IFERROR(__xludf.DUMMYFUNCTION("""COMPUTED_VALUE"""),"hifiasm_v0.16.1-r375")</f>
        <v>hifiasm_v0.16.1-r375</v>
      </c>
      <c r="T136" s="6" t="str">
        <f>IFERROR(__xludf.DUMMYFUNCTION("""COMPUTED_VALUE"""),"Individual")</f>
        <v>Individual</v>
      </c>
      <c r="U136" s="6">
        <f>IFERROR(__xludf.DUMMYFUNCTION("""COMPUTED_VALUE"""),2023.0)</f>
        <v>2023</v>
      </c>
      <c r="V136" s="6" t="str">
        <f>IFERROR(__xludf.DUMMYFUNCTION("""COMPUTED_VALUE"""),"yes")</f>
        <v>yes</v>
      </c>
      <c r="W136" s="6" t="str">
        <f>IFERROR(__xludf.DUMMYFUNCTION("""COMPUTED_VALUE"""),"Wlodzimierz")</f>
        <v>Wlodzimierz</v>
      </c>
      <c r="X136" s="5">
        <f>IFERROR(__xludf.DUMMYFUNCTION("""COMPUTED_VALUE"""),2023.0)</f>
        <v>2023</v>
      </c>
      <c r="Y136" s="5" t="str">
        <f>IFERROR(__xludf.DUMMYFUNCTION("""COMPUTED_VALUE"""),"Nature")</f>
        <v>Nature</v>
      </c>
      <c r="Z136" s="7" t="str">
        <f>IFERROR(__xludf.DUMMYFUNCTION("""COMPUTED_VALUE"""),"10.1038/s41586-023-06062-z")</f>
        <v>10.1038/s41586-023-06062-z</v>
      </c>
      <c r="AA136" s="7" t="str">
        <f>IFERROR(__xludf.DUMMYFUNCTION("""COMPUTED_VALUE"""),"https://www.nature.com/articles/s41586-023-06062-z")</f>
        <v>https://www.nature.com/articles/s41586-023-06062-z</v>
      </c>
      <c r="AB136" s="5"/>
    </row>
    <row r="137">
      <c r="A137" s="5">
        <f>IFERROR(__xludf.DUMMYFUNCTION("""COMPUTED_VALUE"""),100135.0)</f>
        <v>100135</v>
      </c>
      <c r="B137" s="5" t="str">
        <f>IFERROR(__xludf.DUMMYFUNCTION("""COMPUTED_VALUE"""),"IP-Med-3")</f>
        <v>IP-Med-3</v>
      </c>
      <c r="C137" s="5">
        <f>IFERROR(__xludf.DUMMYFUNCTION("""COMPUTED_VALUE"""),22076.0)</f>
        <v>22076</v>
      </c>
      <c r="D137" s="5"/>
      <c r="E137" s="5"/>
      <c r="F137" s="5">
        <f>IFERROR(__xludf.DUMMYFUNCTION("""COMPUTED_VALUE"""),1.0)</f>
        <v>1</v>
      </c>
      <c r="G137" s="5"/>
      <c r="H137" s="5"/>
      <c r="I137" s="5"/>
      <c r="J137" s="5"/>
      <c r="K137" s="5">
        <f>IFERROR(__xludf.DUMMYFUNCTION("""COMPUTED_VALUE"""),42.455239)</f>
        <v>42.455239</v>
      </c>
      <c r="L137" s="5">
        <f>IFERROR(__xludf.DUMMYFUNCTION("""COMPUTED_VALUE"""),-6.765742)</f>
        <v>-6.765742</v>
      </c>
      <c r="M137" s="5">
        <f>IFERROR(__xludf.DUMMYFUNCTION("""COMPUTED_VALUE"""),771.0)</f>
        <v>771</v>
      </c>
      <c r="N137" s="5">
        <f>IFERROR(__xludf.DUMMYFUNCTION("""COMPUTED_VALUE"""),10.0)</f>
        <v>10</v>
      </c>
      <c r="O137" s="5"/>
      <c r="P137" s="5"/>
      <c r="Q137" s="5" t="str">
        <f>IFERROR(__xludf.DUMMYFUNCTION("""COMPUTED_VALUE"""),"no")</f>
        <v>no</v>
      </c>
      <c r="R137" s="5" t="str">
        <f>IFERROR(__xludf.DUMMYFUNCTION("""COMPUTED_VALUE"""),"HiFi")</f>
        <v>HiFi</v>
      </c>
      <c r="S137" s="5" t="str">
        <f>IFERROR(__xludf.DUMMYFUNCTION("""COMPUTED_VALUE"""),"hifiasm_v0.16.1-r375")</f>
        <v>hifiasm_v0.16.1-r375</v>
      </c>
      <c r="T137" s="6" t="str">
        <f>IFERROR(__xludf.DUMMYFUNCTION("""COMPUTED_VALUE"""),"Individual")</f>
        <v>Individual</v>
      </c>
      <c r="U137" s="6">
        <f>IFERROR(__xludf.DUMMYFUNCTION("""COMPUTED_VALUE"""),2023.0)</f>
        <v>2023</v>
      </c>
      <c r="V137" s="6" t="str">
        <f>IFERROR(__xludf.DUMMYFUNCTION("""COMPUTED_VALUE"""),"yes")</f>
        <v>yes</v>
      </c>
      <c r="W137" s="6" t="str">
        <f>IFERROR(__xludf.DUMMYFUNCTION("""COMPUTED_VALUE"""),"Wlodzimierz")</f>
        <v>Wlodzimierz</v>
      </c>
      <c r="X137" s="5">
        <f>IFERROR(__xludf.DUMMYFUNCTION("""COMPUTED_VALUE"""),2023.0)</f>
        <v>2023</v>
      </c>
      <c r="Y137" s="5" t="str">
        <f>IFERROR(__xludf.DUMMYFUNCTION("""COMPUTED_VALUE"""),"Nature")</f>
        <v>Nature</v>
      </c>
      <c r="Z137" s="7" t="str">
        <f>IFERROR(__xludf.DUMMYFUNCTION("""COMPUTED_VALUE"""),"10.1038/s41586-023-06062-z")</f>
        <v>10.1038/s41586-023-06062-z</v>
      </c>
      <c r="AA137" s="7" t="str">
        <f>IFERROR(__xludf.DUMMYFUNCTION("""COMPUTED_VALUE"""),"https://www.nature.com/articles/s41586-023-06062-z")</f>
        <v>https://www.nature.com/articles/s41586-023-06062-z</v>
      </c>
      <c r="AB137" s="5"/>
    </row>
    <row r="138">
      <c r="A138" s="5">
        <f>IFERROR(__xludf.DUMMYFUNCTION("""COMPUTED_VALUE"""),100136.0)</f>
        <v>100136</v>
      </c>
      <c r="B138" s="5" t="str">
        <f>IFERROR(__xludf.DUMMYFUNCTION("""COMPUTED_VALUE"""),"IP-Met-4")</f>
        <v>IP-Met-4</v>
      </c>
      <c r="C138" s="5">
        <f>IFERROR(__xludf.DUMMYFUNCTION("""COMPUTED_VALUE"""),22077.0)</f>
        <v>22077</v>
      </c>
      <c r="D138" s="5"/>
      <c r="E138" s="5"/>
      <c r="F138" s="5">
        <f>IFERROR(__xludf.DUMMYFUNCTION("""COMPUTED_VALUE"""),1.0)</f>
        <v>1</v>
      </c>
      <c r="G138" s="5"/>
      <c r="H138" s="5"/>
      <c r="I138" s="5"/>
      <c r="J138" s="5"/>
      <c r="K138" s="5">
        <f>IFERROR(__xludf.DUMMYFUNCTION("""COMPUTED_VALUE"""),40.261667)</f>
        <v>40.261667</v>
      </c>
      <c r="L138" s="5">
        <f>IFERROR(__xludf.DUMMYFUNCTION("""COMPUTED_VALUE"""),-4.154601)</f>
        <v>-4.154601</v>
      </c>
      <c r="M138" s="5">
        <f>IFERROR(__xludf.DUMMYFUNCTION("""COMPUTED_VALUE"""),583.0)</f>
        <v>583</v>
      </c>
      <c r="N138" s="5">
        <f>IFERROR(__xludf.DUMMYFUNCTION("""COMPUTED_VALUE"""),5.0)</f>
        <v>5</v>
      </c>
      <c r="O138" s="5"/>
      <c r="P138" s="5"/>
      <c r="Q138" s="5" t="str">
        <f>IFERROR(__xludf.DUMMYFUNCTION("""COMPUTED_VALUE"""),"yes")</f>
        <v>yes</v>
      </c>
      <c r="R138" s="5" t="str">
        <f>IFERROR(__xludf.DUMMYFUNCTION("""COMPUTED_VALUE"""),"HiFi")</f>
        <v>HiFi</v>
      </c>
      <c r="S138" s="5" t="str">
        <f>IFERROR(__xludf.DUMMYFUNCTION("""COMPUTED_VALUE"""),"hifiasm_v0.16.1-r375")</f>
        <v>hifiasm_v0.16.1-r375</v>
      </c>
      <c r="T138" s="6" t="str">
        <f>IFERROR(__xludf.DUMMYFUNCTION("""COMPUTED_VALUE"""),"Individual")</f>
        <v>Individual</v>
      </c>
      <c r="U138" s="6">
        <f>IFERROR(__xludf.DUMMYFUNCTION("""COMPUTED_VALUE"""),2024.0)</f>
        <v>2024</v>
      </c>
      <c r="V138" s="6" t="str">
        <f>IFERROR(__xludf.DUMMYFUNCTION("""COMPUTED_VALUE"""),"no")</f>
        <v>no</v>
      </c>
      <c r="W138" s="6" t="str">
        <f>IFERROR(__xludf.DUMMYFUNCTION("""COMPUTED_VALUE"""),"Rabanal")</f>
        <v>Rabanal</v>
      </c>
      <c r="X138" s="5"/>
      <c r="Y138" s="5" t="str">
        <f>IFERROR(__xludf.DUMMYFUNCTION("""COMPUTED_VALUE"""),"unpublished")</f>
        <v>unpublished</v>
      </c>
      <c r="Z138" s="5"/>
      <c r="AA138" s="5"/>
      <c r="AB138" s="5"/>
    </row>
    <row r="139">
      <c r="A139" s="5">
        <f>IFERROR(__xludf.DUMMYFUNCTION("""COMPUTED_VALUE"""),100137.0)</f>
        <v>100137</v>
      </c>
      <c r="B139" s="5" t="str">
        <f>IFERROR(__xludf.DUMMYFUNCTION("""COMPUTED_VALUE"""),"IP-Met-6")</f>
        <v>IP-Met-6</v>
      </c>
      <c r="C139" s="5">
        <f>IFERROR(__xludf.DUMMYFUNCTION("""COMPUTED_VALUE"""),22078.0)</f>
        <v>22078</v>
      </c>
      <c r="D139" s="5"/>
      <c r="E139" s="5"/>
      <c r="F139" s="5">
        <f>IFERROR(__xludf.DUMMYFUNCTION("""COMPUTED_VALUE"""),1.0)</f>
        <v>1</v>
      </c>
      <c r="G139" s="5"/>
      <c r="H139" s="5"/>
      <c r="I139" s="5"/>
      <c r="J139" s="5"/>
      <c r="K139" s="5">
        <f>IFERROR(__xludf.DUMMYFUNCTION("""COMPUTED_VALUE"""),40.261667)</f>
        <v>40.261667</v>
      </c>
      <c r="L139" s="5">
        <f>IFERROR(__xludf.DUMMYFUNCTION("""COMPUTED_VALUE"""),-4.154601)</f>
        <v>-4.154601</v>
      </c>
      <c r="M139" s="5">
        <f>IFERROR(__xludf.DUMMYFUNCTION("""COMPUTED_VALUE"""),583.0)</f>
        <v>583</v>
      </c>
      <c r="N139" s="5">
        <f>IFERROR(__xludf.DUMMYFUNCTION("""COMPUTED_VALUE"""),5.0)</f>
        <v>5</v>
      </c>
      <c r="O139" s="5"/>
      <c r="P139" s="5"/>
      <c r="Q139" s="5" t="str">
        <f>IFERROR(__xludf.DUMMYFUNCTION("""COMPUTED_VALUE"""),"yes")</f>
        <v>yes</v>
      </c>
      <c r="R139" s="5" t="str">
        <f>IFERROR(__xludf.DUMMYFUNCTION("""COMPUTED_VALUE"""),"HiFi")</f>
        <v>HiFi</v>
      </c>
      <c r="S139" s="5" t="str">
        <f>IFERROR(__xludf.DUMMYFUNCTION("""COMPUTED_VALUE"""),"hifiasm_v0.16.1-r375")</f>
        <v>hifiasm_v0.16.1-r375</v>
      </c>
      <c r="T139" s="6" t="str">
        <f>IFERROR(__xludf.DUMMYFUNCTION("""COMPUTED_VALUE"""),"Individual")</f>
        <v>Individual</v>
      </c>
      <c r="U139" s="6">
        <f>IFERROR(__xludf.DUMMYFUNCTION("""COMPUTED_VALUE"""),2023.0)</f>
        <v>2023</v>
      </c>
      <c r="V139" s="6" t="str">
        <f>IFERROR(__xludf.DUMMYFUNCTION("""COMPUTED_VALUE"""),"yes")</f>
        <v>yes</v>
      </c>
      <c r="W139" s="6" t="str">
        <f>IFERROR(__xludf.DUMMYFUNCTION("""COMPUTED_VALUE"""),"Wlodzimierz")</f>
        <v>Wlodzimierz</v>
      </c>
      <c r="X139" s="5">
        <f>IFERROR(__xludf.DUMMYFUNCTION("""COMPUTED_VALUE"""),2023.0)</f>
        <v>2023</v>
      </c>
      <c r="Y139" s="5" t="str">
        <f>IFERROR(__xludf.DUMMYFUNCTION("""COMPUTED_VALUE"""),"Nature")</f>
        <v>Nature</v>
      </c>
      <c r="Z139" s="7" t="str">
        <f>IFERROR(__xludf.DUMMYFUNCTION("""COMPUTED_VALUE"""),"10.1038/s41586-023-06062-z")</f>
        <v>10.1038/s41586-023-06062-z</v>
      </c>
      <c r="AA139" s="7" t="str">
        <f>IFERROR(__xludf.DUMMYFUNCTION("""COMPUTED_VALUE"""),"https://www.nature.com/articles/s41586-023-06062-z")</f>
        <v>https://www.nature.com/articles/s41586-023-06062-z</v>
      </c>
      <c r="AB139" s="5"/>
    </row>
    <row r="140">
      <c r="A140" s="5">
        <f>IFERROR(__xludf.DUMMYFUNCTION("""COMPUTED_VALUE"""),100138.0)</f>
        <v>100138</v>
      </c>
      <c r="B140" s="5" t="str">
        <f>IFERROR(__xludf.DUMMYFUNCTION("""COMPUTED_VALUE"""),"IP-Mie-1")</f>
        <v>IP-Mie-1</v>
      </c>
      <c r="C140" s="5">
        <f>IFERROR(__xludf.DUMMYFUNCTION("""COMPUTED_VALUE"""),9867.0)</f>
        <v>9867</v>
      </c>
      <c r="D140" s="5"/>
      <c r="E140" s="5">
        <f>IFERROR(__xludf.DUMMYFUNCTION("""COMPUTED_VALUE"""),100138.0)</f>
        <v>100138</v>
      </c>
      <c r="F140" s="5">
        <f>IFERROR(__xludf.DUMMYFUNCTION("""COMPUTED_VALUE"""),1.0)</f>
        <v>1</v>
      </c>
      <c r="G140" s="5"/>
      <c r="H140" s="5" t="b">
        <f>IFERROR(__xludf.DUMMYFUNCTION("""COMPUTED_VALUE"""),FALSE)</f>
        <v>0</v>
      </c>
      <c r="I140" s="5"/>
      <c r="J140" s="5" t="str">
        <f>IFERROR(__xludf.DUMMYFUNCTION("""COMPUTED_VALUE"""),"CS77083")</f>
        <v>CS77083</v>
      </c>
      <c r="K140" s="5">
        <f>IFERROR(__xludf.DUMMYFUNCTION("""COMPUTED_VALUE"""),40.941507)</f>
        <v>40.941507</v>
      </c>
      <c r="L140" s="5">
        <f>IFERROR(__xludf.DUMMYFUNCTION("""COMPUTED_VALUE"""),-3.218865)</f>
        <v>-3.218865</v>
      </c>
      <c r="M140" s="5">
        <f>IFERROR(__xludf.DUMMYFUNCTION("""COMPUTED_VALUE"""),979.0)</f>
        <v>979</v>
      </c>
      <c r="N140" s="5">
        <f>IFERROR(__xludf.DUMMYFUNCTION("""COMPUTED_VALUE"""),12.0)</f>
        <v>12</v>
      </c>
      <c r="O140" s="5"/>
      <c r="P140" s="5"/>
      <c r="Q140" s="5" t="str">
        <f>IFERROR(__xludf.DUMMYFUNCTION("""COMPUTED_VALUE"""),"no")</f>
        <v>no</v>
      </c>
      <c r="R140" s="5" t="str">
        <f>IFERROR(__xludf.DUMMYFUNCTION("""COMPUTED_VALUE"""),"HiFi")</f>
        <v>HiFi</v>
      </c>
      <c r="S140" s="5" t="str">
        <f>IFERROR(__xludf.DUMMYFUNCTION("""COMPUTED_VALUE"""),"hifiasm_v0.16.1-r375")</f>
        <v>hifiasm_v0.16.1-r375</v>
      </c>
      <c r="T140" s="6" t="str">
        <f>IFERROR(__xludf.DUMMYFUNCTION("""COMPUTED_VALUE"""),"Individual")</f>
        <v>Individual</v>
      </c>
      <c r="U140" s="6">
        <f>IFERROR(__xludf.DUMMYFUNCTION("""COMPUTED_VALUE"""),2024.0)</f>
        <v>2024</v>
      </c>
      <c r="V140" s="6" t="str">
        <f>IFERROR(__xludf.DUMMYFUNCTION("""COMPUTED_VALUE"""),"no")</f>
        <v>no</v>
      </c>
      <c r="W140" s="6" t="str">
        <f>IFERROR(__xludf.DUMMYFUNCTION("""COMPUTED_VALUE"""),"Rabanal")</f>
        <v>Rabanal</v>
      </c>
      <c r="X140" s="5"/>
      <c r="Y140" s="5" t="str">
        <f>IFERROR(__xludf.DUMMYFUNCTION("""COMPUTED_VALUE"""),"unpublished")</f>
        <v>unpublished</v>
      </c>
      <c r="Z140" s="5"/>
      <c r="AA140" s="5"/>
      <c r="AB140" s="5"/>
    </row>
    <row r="141">
      <c r="A141" s="5">
        <f>IFERROR(__xludf.DUMMYFUNCTION("""COMPUTED_VALUE"""),100139.0)</f>
        <v>100139</v>
      </c>
      <c r="B141" s="5" t="str">
        <f>IFERROR(__xludf.DUMMYFUNCTION("""COMPUTED_VALUE"""),"IP-Mie-3")</f>
        <v>IP-Mie-3</v>
      </c>
      <c r="C141" s="5">
        <f>IFERROR(__xludf.DUMMYFUNCTION("""COMPUTED_VALUE"""),22079.0)</f>
        <v>22079</v>
      </c>
      <c r="D141" s="5"/>
      <c r="E141" s="5"/>
      <c r="F141" s="5">
        <f>IFERROR(__xludf.DUMMYFUNCTION("""COMPUTED_VALUE"""),1.0)</f>
        <v>1</v>
      </c>
      <c r="G141" s="5"/>
      <c r="H141" s="5"/>
      <c r="I141" s="5"/>
      <c r="J141" s="5"/>
      <c r="K141" s="5">
        <f>IFERROR(__xludf.DUMMYFUNCTION("""COMPUTED_VALUE"""),40.941507)</f>
        <v>40.941507</v>
      </c>
      <c r="L141" s="5">
        <f>IFERROR(__xludf.DUMMYFUNCTION("""COMPUTED_VALUE"""),-3.218865)</f>
        <v>-3.218865</v>
      </c>
      <c r="M141" s="5">
        <f>IFERROR(__xludf.DUMMYFUNCTION("""COMPUTED_VALUE"""),979.0)</f>
        <v>979</v>
      </c>
      <c r="N141" s="5">
        <f>IFERROR(__xludf.DUMMYFUNCTION("""COMPUTED_VALUE"""),15.0)</f>
        <v>15</v>
      </c>
      <c r="O141" s="5"/>
      <c r="P141" s="5"/>
      <c r="Q141" s="5" t="str">
        <f>IFERROR(__xludf.DUMMYFUNCTION("""COMPUTED_VALUE"""),"yes")</f>
        <v>yes</v>
      </c>
      <c r="R141" s="5" t="str">
        <f>IFERROR(__xludf.DUMMYFUNCTION("""COMPUTED_VALUE"""),"HiFi")</f>
        <v>HiFi</v>
      </c>
      <c r="S141" s="5" t="str">
        <f>IFERROR(__xludf.DUMMYFUNCTION("""COMPUTED_VALUE"""),"hifiasm_v0.16.1-r375")</f>
        <v>hifiasm_v0.16.1-r375</v>
      </c>
      <c r="T141" s="6" t="str">
        <f>IFERROR(__xludf.DUMMYFUNCTION("""COMPUTED_VALUE"""),"Individual")</f>
        <v>Individual</v>
      </c>
      <c r="U141" s="6">
        <f>IFERROR(__xludf.DUMMYFUNCTION("""COMPUTED_VALUE"""),2024.0)</f>
        <v>2024</v>
      </c>
      <c r="V141" s="6" t="str">
        <f>IFERROR(__xludf.DUMMYFUNCTION("""COMPUTED_VALUE"""),"no")</f>
        <v>no</v>
      </c>
      <c r="W141" s="6" t="str">
        <f>IFERROR(__xludf.DUMMYFUNCTION("""COMPUTED_VALUE"""),"Rabanal")</f>
        <v>Rabanal</v>
      </c>
      <c r="X141" s="5"/>
      <c r="Y141" s="5" t="str">
        <f>IFERROR(__xludf.DUMMYFUNCTION("""COMPUTED_VALUE"""),"unpublished")</f>
        <v>unpublished</v>
      </c>
      <c r="Z141" s="5"/>
      <c r="AA141" s="5"/>
      <c r="AB141" s="5"/>
    </row>
    <row r="142">
      <c r="A142" s="5">
        <f>IFERROR(__xludf.DUMMYFUNCTION("""COMPUTED_VALUE"""),100140.0)</f>
        <v>100140</v>
      </c>
      <c r="B142" s="5" t="str">
        <f>IFERROR(__xludf.DUMMYFUNCTION("""COMPUTED_VALUE"""),"IP-Mor-0")</f>
        <v>IP-Mor-0</v>
      </c>
      <c r="C142" s="5">
        <f>IFERROR(__xludf.DUMMYFUNCTION("""COMPUTED_VALUE"""),22080.0)</f>
        <v>22080</v>
      </c>
      <c r="D142" s="5"/>
      <c r="E142" s="5"/>
      <c r="F142" s="5">
        <f>IFERROR(__xludf.DUMMYFUNCTION("""COMPUTED_VALUE"""),1.0)</f>
        <v>1</v>
      </c>
      <c r="G142" s="5"/>
      <c r="H142" s="5"/>
      <c r="I142" s="5"/>
      <c r="J142" s="5" t="str">
        <f>IFERROR(__xludf.DUMMYFUNCTION("""COMPUTED_VALUE"""),"CS2110060")</f>
        <v>CS2110060</v>
      </c>
      <c r="K142" s="5">
        <f>IFERROR(__xludf.DUMMYFUNCTION("""COMPUTED_VALUE"""),40.870455)</f>
        <v>40.870455</v>
      </c>
      <c r="L142" s="5">
        <f>IFERROR(__xludf.DUMMYFUNCTION("""COMPUTED_VALUE"""),-6.073196)</f>
        <v>-6.073196</v>
      </c>
      <c r="M142" s="5">
        <f>IFERROR(__xludf.DUMMYFUNCTION("""COMPUTED_VALUE"""),803.0)</f>
        <v>803</v>
      </c>
      <c r="N142" s="5">
        <f>IFERROR(__xludf.DUMMYFUNCTION("""COMPUTED_VALUE"""),8.0)</f>
        <v>8</v>
      </c>
      <c r="O142" s="5"/>
      <c r="P142" s="5"/>
      <c r="Q142" s="5" t="str">
        <f>IFERROR(__xludf.DUMMYFUNCTION("""COMPUTED_VALUE"""),"yes")</f>
        <v>yes</v>
      </c>
      <c r="R142" s="5" t="str">
        <f>IFERROR(__xludf.DUMMYFUNCTION("""COMPUTED_VALUE"""),"HiFi")</f>
        <v>HiFi</v>
      </c>
      <c r="S142" s="5" t="str">
        <f>IFERROR(__xludf.DUMMYFUNCTION("""COMPUTED_VALUE"""),"hifiasm_v0.16.1-r375")</f>
        <v>hifiasm_v0.16.1-r375</v>
      </c>
      <c r="T142" s="6" t="str">
        <f>IFERROR(__xludf.DUMMYFUNCTION("""COMPUTED_VALUE"""),"Individual")</f>
        <v>Individual</v>
      </c>
      <c r="U142" s="6">
        <f>IFERROR(__xludf.DUMMYFUNCTION("""COMPUTED_VALUE"""),2024.0)</f>
        <v>2024</v>
      </c>
      <c r="V142" s="6" t="str">
        <f>IFERROR(__xludf.DUMMYFUNCTION("""COMPUTED_VALUE"""),"no")</f>
        <v>no</v>
      </c>
      <c r="W142" s="6" t="str">
        <f>IFERROR(__xludf.DUMMYFUNCTION("""COMPUTED_VALUE"""),"Rabanal")</f>
        <v>Rabanal</v>
      </c>
      <c r="X142" s="5"/>
      <c r="Y142" s="5" t="str">
        <f>IFERROR(__xludf.DUMMYFUNCTION("""COMPUTED_VALUE"""),"unpublished")</f>
        <v>unpublished</v>
      </c>
      <c r="Z142" s="5"/>
      <c r="AA142" s="5"/>
      <c r="AB142" s="5"/>
    </row>
    <row r="143">
      <c r="A143" s="5">
        <f>IFERROR(__xludf.DUMMYFUNCTION("""COMPUTED_VALUE"""),100141.0)</f>
        <v>100141</v>
      </c>
      <c r="B143" s="5" t="str">
        <f>IFERROR(__xludf.DUMMYFUNCTION("""COMPUTED_VALUE"""),"IP-Mor-5")</f>
        <v>IP-Mor-5</v>
      </c>
      <c r="C143" s="5">
        <f>IFERROR(__xludf.DUMMYFUNCTION("""COMPUTED_VALUE"""),22081.0)</f>
        <v>22081</v>
      </c>
      <c r="D143" s="5"/>
      <c r="E143" s="5"/>
      <c r="F143" s="5">
        <f>IFERROR(__xludf.DUMMYFUNCTION("""COMPUTED_VALUE"""),1.0)</f>
        <v>1</v>
      </c>
      <c r="G143" s="5"/>
      <c r="H143" s="5"/>
      <c r="I143" s="5"/>
      <c r="J143" s="5"/>
      <c r="K143" s="5">
        <f>IFERROR(__xludf.DUMMYFUNCTION("""COMPUTED_VALUE"""),40.870455)</f>
        <v>40.870455</v>
      </c>
      <c r="L143" s="5">
        <f>IFERROR(__xludf.DUMMYFUNCTION("""COMPUTED_VALUE"""),-6.073196)</f>
        <v>-6.073196</v>
      </c>
      <c r="M143" s="5">
        <f>IFERROR(__xludf.DUMMYFUNCTION("""COMPUTED_VALUE"""),803.0)</f>
        <v>803</v>
      </c>
      <c r="N143" s="5">
        <f>IFERROR(__xludf.DUMMYFUNCTION("""COMPUTED_VALUE"""),8.0)</f>
        <v>8</v>
      </c>
      <c r="O143" s="5"/>
      <c r="P143" s="5"/>
      <c r="Q143" s="5" t="str">
        <f>IFERROR(__xludf.DUMMYFUNCTION("""COMPUTED_VALUE"""),"yes")</f>
        <v>yes</v>
      </c>
      <c r="R143" s="5" t="str">
        <f>IFERROR(__xludf.DUMMYFUNCTION("""COMPUTED_VALUE"""),"HiFi")</f>
        <v>HiFi</v>
      </c>
      <c r="S143" s="5" t="str">
        <f>IFERROR(__xludf.DUMMYFUNCTION("""COMPUTED_VALUE"""),"hifiasm_v0.16.1-r375")</f>
        <v>hifiasm_v0.16.1-r375</v>
      </c>
      <c r="T143" s="6" t="str">
        <f>IFERROR(__xludf.DUMMYFUNCTION("""COMPUTED_VALUE"""),"Individual")</f>
        <v>Individual</v>
      </c>
      <c r="U143" s="6">
        <f>IFERROR(__xludf.DUMMYFUNCTION("""COMPUTED_VALUE"""),2024.0)</f>
        <v>2024</v>
      </c>
      <c r="V143" s="6" t="str">
        <f>IFERROR(__xludf.DUMMYFUNCTION("""COMPUTED_VALUE"""),"no")</f>
        <v>no</v>
      </c>
      <c r="W143" s="6" t="str">
        <f>IFERROR(__xludf.DUMMYFUNCTION("""COMPUTED_VALUE"""),"Rabanal")</f>
        <v>Rabanal</v>
      </c>
      <c r="X143" s="5"/>
      <c r="Y143" s="5" t="str">
        <f>IFERROR(__xludf.DUMMYFUNCTION("""COMPUTED_VALUE"""),"unpublished")</f>
        <v>unpublished</v>
      </c>
      <c r="Z143" s="5"/>
      <c r="AA143" s="5"/>
      <c r="AB143" s="5"/>
    </row>
    <row r="144">
      <c r="A144" s="5">
        <f>IFERROR(__xludf.DUMMYFUNCTION("""COMPUTED_VALUE"""),100142.0)</f>
        <v>100142</v>
      </c>
      <c r="B144" s="5" t="str">
        <f>IFERROR(__xludf.DUMMYFUNCTION("""COMPUTED_VALUE"""),"IP-Mos-5")</f>
        <v>IP-Mos-5</v>
      </c>
      <c r="C144" s="5">
        <f>IFERROR(__xludf.DUMMYFUNCTION("""COMPUTED_VALUE"""),22082.0)</f>
        <v>22082</v>
      </c>
      <c r="D144" s="5"/>
      <c r="E144" s="5"/>
      <c r="F144" s="5">
        <f>IFERROR(__xludf.DUMMYFUNCTION("""COMPUTED_VALUE"""),1.0)</f>
        <v>1</v>
      </c>
      <c r="G144" s="5"/>
      <c r="H144" s="5"/>
      <c r="I144" s="5"/>
      <c r="J144" s="5"/>
      <c r="K144" s="5">
        <f>IFERROR(__xludf.DUMMYFUNCTION("""COMPUTED_VALUE"""),40.040579)</f>
        <v>40.040579</v>
      </c>
      <c r="L144" s="5">
        <f>IFERROR(__xludf.DUMMYFUNCTION("""COMPUTED_VALUE"""),-7.110302)</f>
        <v>-7.110302</v>
      </c>
      <c r="M144" s="5">
        <f>IFERROR(__xludf.DUMMYFUNCTION("""COMPUTED_VALUE"""),620.0)</f>
        <v>620</v>
      </c>
      <c r="N144" s="5">
        <f>IFERROR(__xludf.DUMMYFUNCTION("""COMPUTED_VALUE"""),6.0)</f>
        <v>6</v>
      </c>
      <c r="O144" s="5"/>
      <c r="P144" s="5"/>
      <c r="Q144" s="5" t="str">
        <f>IFERROR(__xludf.DUMMYFUNCTION("""COMPUTED_VALUE"""),"yes")</f>
        <v>yes</v>
      </c>
      <c r="R144" s="5" t="str">
        <f>IFERROR(__xludf.DUMMYFUNCTION("""COMPUTED_VALUE"""),"HiFi")</f>
        <v>HiFi</v>
      </c>
      <c r="S144" s="5" t="str">
        <f>IFERROR(__xludf.DUMMYFUNCTION("""COMPUTED_VALUE"""),"hifiasm_v0.16.1-r375")</f>
        <v>hifiasm_v0.16.1-r375</v>
      </c>
      <c r="T144" s="6" t="str">
        <f>IFERROR(__xludf.DUMMYFUNCTION("""COMPUTED_VALUE"""),"Individual")</f>
        <v>Individual</v>
      </c>
      <c r="U144" s="6">
        <f>IFERROR(__xludf.DUMMYFUNCTION("""COMPUTED_VALUE"""),2023.0)</f>
        <v>2023</v>
      </c>
      <c r="V144" s="6" t="str">
        <f>IFERROR(__xludf.DUMMYFUNCTION("""COMPUTED_VALUE"""),"yes")</f>
        <v>yes</v>
      </c>
      <c r="W144" s="6" t="str">
        <f>IFERROR(__xludf.DUMMYFUNCTION("""COMPUTED_VALUE"""),"Wlodzimierz")</f>
        <v>Wlodzimierz</v>
      </c>
      <c r="X144" s="5">
        <f>IFERROR(__xludf.DUMMYFUNCTION("""COMPUTED_VALUE"""),2023.0)</f>
        <v>2023</v>
      </c>
      <c r="Y144" s="5" t="str">
        <f>IFERROR(__xludf.DUMMYFUNCTION("""COMPUTED_VALUE"""),"Nature")</f>
        <v>Nature</v>
      </c>
      <c r="Z144" s="7" t="str">
        <f>IFERROR(__xludf.DUMMYFUNCTION("""COMPUTED_VALUE"""),"10.1038/s41586-023-06062-z")</f>
        <v>10.1038/s41586-023-06062-z</v>
      </c>
      <c r="AA144" s="7" t="str">
        <f>IFERROR(__xludf.DUMMYFUNCTION("""COMPUTED_VALUE"""),"https://www.nature.com/articles/s41586-023-06062-z")</f>
        <v>https://www.nature.com/articles/s41586-023-06062-z</v>
      </c>
      <c r="AB144" s="5"/>
    </row>
    <row r="145">
      <c r="A145" s="5">
        <f>IFERROR(__xludf.DUMMYFUNCTION("""COMPUTED_VALUE"""),100143.0)</f>
        <v>100143</v>
      </c>
      <c r="B145" s="5" t="str">
        <f>IFERROR(__xludf.DUMMYFUNCTION("""COMPUTED_VALUE"""),"IP-Mos-9")</f>
        <v>IP-Mos-9</v>
      </c>
      <c r="C145" s="5">
        <f>IFERROR(__xludf.DUMMYFUNCTION("""COMPUTED_VALUE"""),22083.0)</f>
        <v>22083</v>
      </c>
      <c r="D145" s="5"/>
      <c r="E145" s="5"/>
      <c r="F145" s="5">
        <f>IFERROR(__xludf.DUMMYFUNCTION("""COMPUTED_VALUE"""),1.0)</f>
        <v>1</v>
      </c>
      <c r="G145" s="5"/>
      <c r="H145" s="5"/>
      <c r="I145" s="5"/>
      <c r="J145" s="5"/>
      <c r="K145" s="5">
        <f>IFERROR(__xludf.DUMMYFUNCTION("""COMPUTED_VALUE"""),40.040579)</f>
        <v>40.040579</v>
      </c>
      <c r="L145" s="5">
        <f>IFERROR(__xludf.DUMMYFUNCTION("""COMPUTED_VALUE"""),-7.110302)</f>
        <v>-7.110302</v>
      </c>
      <c r="M145" s="5">
        <f>IFERROR(__xludf.DUMMYFUNCTION("""COMPUTED_VALUE"""),620.0)</f>
        <v>620</v>
      </c>
      <c r="N145" s="5">
        <f>IFERROR(__xludf.DUMMYFUNCTION("""COMPUTED_VALUE"""),13.0)</f>
        <v>13</v>
      </c>
      <c r="O145" s="5"/>
      <c r="P145" s="5"/>
      <c r="Q145" s="5" t="str">
        <f>IFERROR(__xludf.DUMMYFUNCTION("""COMPUTED_VALUE"""),"yes")</f>
        <v>yes</v>
      </c>
      <c r="R145" s="5" t="str">
        <f>IFERROR(__xludf.DUMMYFUNCTION("""COMPUTED_VALUE"""),"HiFi")</f>
        <v>HiFi</v>
      </c>
      <c r="S145" s="5" t="str">
        <f>IFERROR(__xludf.DUMMYFUNCTION("""COMPUTED_VALUE"""),"hifiasm_v0.16.1-r375")</f>
        <v>hifiasm_v0.16.1-r375</v>
      </c>
      <c r="T145" s="6" t="str">
        <f>IFERROR(__xludf.DUMMYFUNCTION("""COMPUTED_VALUE"""),"Individual")</f>
        <v>Individual</v>
      </c>
      <c r="U145" s="6">
        <f>IFERROR(__xludf.DUMMYFUNCTION("""COMPUTED_VALUE"""),2023.0)</f>
        <v>2023</v>
      </c>
      <c r="V145" s="6" t="str">
        <f>IFERROR(__xludf.DUMMYFUNCTION("""COMPUTED_VALUE"""),"yes")</f>
        <v>yes</v>
      </c>
      <c r="W145" s="6" t="str">
        <f>IFERROR(__xludf.DUMMYFUNCTION("""COMPUTED_VALUE"""),"Wlodzimierz")</f>
        <v>Wlodzimierz</v>
      </c>
      <c r="X145" s="5">
        <f>IFERROR(__xludf.DUMMYFUNCTION("""COMPUTED_VALUE"""),2023.0)</f>
        <v>2023</v>
      </c>
      <c r="Y145" s="5" t="str">
        <f>IFERROR(__xludf.DUMMYFUNCTION("""COMPUTED_VALUE"""),"Nature")</f>
        <v>Nature</v>
      </c>
      <c r="Z145" s="7" t="str">
        <f>IFERROR(__xludf.DUMMYFUNCTION("""COMPUTED_VALUE"""),"10.1038/s41586-023-06062-z")</f>
        <v>10.1038/s41586-023-06062-z</v>
      </c>
      <c r="AA145" s="7" t="str">
        <f>IFERROR(__xludf.DUMMYFUNCTION("""COMPUTED_VALUE"""),"https://www.nature.com/articles/s41586-023-06062-z")</f>
        <v>https://www.nature.com/articles/s41586-023-06062-z</v>
      </c>
      <c r="AB145" s="5"/>
    </row>
    <row r="146">
      <c r="A146" s="5">
        <f>IFERROR(__xludf.DUMMYFUNCTION("""COMPUTED_VALUE"""),100144.0)</f>
        <v>100144</v>
      </c>
      <c r="B146" s="5" t="str">
        <f>IFERROR(__xludf.DUMMYFUNCTION("""COMPUTED_VALUE"""),"IP-Pub-0")</f>
        <v>IP-Pub-0</v>
      </c>
      <c r="C146" s="5">
        <f>IFERROR(__xludf.DUMMYFUNCTION("""COMPUTED_VALUE"""),22084.0)</f>
        <v>22084</v>
      </c>
      <c r="D146" s="5"/>
      <c r="E146" s="5"/>
      <c r="F146" s="5">
        <f>IFERROR(__xludf.DUMMYFUNCTION("""COMPUTED_VALUE"""),1.0)</f>
        <v>1</v>
      </c>
      <c r="G146" s="5"/>
      <c r="H146" s="5"/>
      <c r="I146" s="5"/>
      <c r="J146" s="5" t="str">
        <f>IFERROR(__xludf.DUMMYFUNCTION("""COMPUTED_VALUE"""),"CS799305")</f>
        <v>CS799305</v>
      </c>
      <c r="K146" s="5">
        <f>IFERROR(__xludf.DUMMYFUNCTION("""COMPUTED_VALUE"""),42.056731)</f>
        <v>42.056731</v>
      </c>
      <c r="L146" s="5">
        <f>IFERROR(__xludf.DUMMYFUNCTION("""COMPUTED_VALUE"""),-6.633406)</f>
        <v>-6.633406</v>
      </c>
      <c r="M146" s="5">
        <f>IFERROR(__xludf.DUMMYFUNCTION("""COMPUTED_VALUE"""),906.0)</f>
        <v>906</v>
      </c>
      <c r="N146" s="5">
        <f>IFERROR(__xludf.DUMMYFUNCTION("""COMPUTED_VALUE"""),9.0)</f>
        <v>9</v>
      </c>
      <c r="O146" s="5"/>
      <c r="P146" s="5"/>
      <c r="Q146" s="5" t="str">
        <f>IFERROR(__xludf.DUMMYFUNCTION("""COMPUTED_VALUE"""),"yes")</f>
        <v>yes</v>
      </c>
      <c r="R146" s="5" t="str">
        <f>IFERROR(__xludf.DUMMYFUNCTION("""COMPUTED_VALUE"""),"HiFi")</f>
        <v>HiFi</v>
      </c>
      <c r="S146" s="5" t="str">
        <f>IFERROR(__xludf.DUMMYFUNCTION("""COMPUTED_VALUE"""),"hifiasm_v0.16.1-r375")</f>
        <v>hifiasm_v0.16.1-r375</v>
      </c>
      <c r="T146" s="6" t="str">
        <f>IFERROR(__xludf.DUMMYFUNCTION("""COMPUTED_VALUE"""),"Individual")</f>
        <v>Individual</v>
      </c>
      <c r="U146" s="6">
        <f>IFERROR(__xludf.DUMMYFUNCTION("""COMPUTED_VALUE"""),2024.0)</f>
        <v>2024</v>
      </c>
      <c r="V146" s="6" t="str">
        <f>IFERROR(__xludf.DUMMYFUNCTION("""COMPUTED_VALUE"""),"no")</f>
        <v>no</v>
      </c>
      <c r="W146" s="6" t="str">
        <f>IFERROR(__xludf.DUMMYFUNCTION("""COMPUTED_VALUE"""),"Rabanal")</f>
        <v>Rabanal</v>
      </c>
      <c r="X146" s="5"/>
      <c r="Y146" s="5" t="str">
        <f>IFERROR(__xludf.DUMMYFUNCTION("""COMPUTED_VALUE"""),"unpublished")</f>
        <v>unpublished</v>
      </c>
      <c r="Z146" s="5"/>
      <c r="AA146" s="5"/>
      <c r="AB146" s="5"/>
    </row>
    <row r="147">
      <c r="A147" s="5">
        <f>IFERROR(__xludf.DUMMYFUNCTION("""COMPUTED_VALUE"""),100145.0)</f>
        <v>100145</v>
      </c>
      <c r="B147" s="5" t="str">
        <f>IFERROR(__xludf.DUMMYFUNCTION("""COMPUTED_VALUE"""),"IP-Pub-1")</f>
        <v>IP-Pub-1</v>
      </c>
      <c r="C147" s="5">
        <f>IFERROR(__xludf.DUMMYFUNCTION("""COMPUTED_VALUE"""),22085.0)</f>
        <v>22085</v>
      </c>
      <c r="D147" s="5"/>
      <c r="E147" s="5"/>
      <c r="F147" s="5">
        <f>IFERROR(__xludf.DUMMYFUNCTION("""COMPUTED_VALUE"""),1.0)</f>
        <v>1</v>
      </c>
      <c r="G147" s="5"/>
      <c r="H147" s="5"/>
      <c r="I147" s="5"/>
      <c r="J147" s="5"/>
      <c r="K147" s="5">
        <f>IFERROR(__xludf.DUMMYFUNCTION("""COMPUTED_VALUE"""),42.056731)</f>
        <v>42.056731</v>
      </c>
      <c r="L147" s="5">
        <f>IFERROR(__xludf.DUMMYFUNCTION("""COMPUTED_VALUE"""),-6.633406)</f>
        <v>-6.633406</v>
      </c>
      <c r="M147" s="5">
        <f>IFERROR(__xludf.DUMMYFUNCTION("""COMPUTED_VALUE"""),906.0)</f>
        <v>906</v>
      </c>
      <c r="N147" s="5">
        <f>IFERROR(__xludf.DUMMYFUNCTION("""COMPUTED_VALUE"""),7.0)</f>
        <v>7</v>
      </c>
      <c r="O147" s="5"/>
      <c r="P147" s="5"/>
      <c r="Q147" s="5" t="str">
        <f>IFERROR(__xludf.DUMMYFUNCTION("""COMPUTED_VALUE"""),"yes")</f>
        <v>yes</v>
      </c>
      <c r="R147" s="5" t="str">
        <f>IFERROR(__xludf.DUMMYFUNCTION("""COMPUTED_VALUE"""),"HiFi")</f>
        <v>HiFi</v>
      </c>
      <c r="S147" s="5" t="str">
        <f>IFERROR(__xludf.DUMMYFUNCTION("""COMPUTED_VALUE"""),"hifiasm_v0.16.1-r375")</f>
        <v>hifiasm_v0.16.1-r375</v>
      </c>
      <c r="T147" s="6" t="str">
        <f>IFERROR(__xludf.DUMMYFUNCTION("""COMPUTED_VALUE"""),"Individual")</f>
        <v>Individual</v>
      </c>
      <c r="U147" s="6">
        <f>IFERROR(__xludf.DUMMYFUNCTION("""COMPUTED_VALUE"""),2024.0)</f>
        <v>2024</v>
      </c>
      <c r="V147" s="6" t="str">
        <f>IFERROR(__xludf.DUMMYFUNCTION("""COMPUTED_VALUE"""),"no")</f>
        <v>no</v>
      </c>
      <c r="W147" s="6" t="str">
        <f>IFERROR(__xludf.DUMMYFUNCTION("""COMPUTED_VALUE"""),"Rabanal")</f>
        <v>Rabanal</v>
      </c>
      <c r="X147" s="5"/>
      <c r="Y147" s="5" t="str">
        <f>IFERROR(__xludf.DUMMYFUNCTION("""COMPUTED_VALUE"""),"unpublished")</f>
        <v>unpublished</v>
      </c>
      <c r="Z147" s="5"/>
      <c r="AA147" s="5"/>
      <c r="AB147" s="5"/>
    </row>
    <row r="148">
      <c r="A148" s="5">
        <f>IFERROR(__xludf.DUMMYFUNCTION("""COMPUTED_VALUE"""),100146.0)</f>
        <v>100146</v>
      </c>
      <c r="B148" s="5" t="str">
        <f>IFERROR(__xludf.DUMMYFUNCTION("""COMPUTED_VALUE"""),"IP-Rel-13")</f>
        <v>IP-Rel-13</v>
      </c>
      <c r="C148" s="5">
        <f>IFERROR(__xludf.DUMMYFUNCTION("""COMPUTED_VALUE"""),22086.0)</f>
        <v>22086</v>
      </c>
      <c r="D148" s="5"/>
      <c r="E148" s="5"/>
      <c r="F148" s="5">
        <f>IFERROR(__xludf.DUMMYFUNCTION("""COMPUTED_VALUE"""),1.0)</f>
        <v>1</v>
      </c>
      <c r="G148" s="5"/>
      <c r="H148" s="5"/>
      <c r="I148" s="5"/>
      <c r="J148" s="5"/>
      <c r="K148" s="5">
        <f>IFERROR(__xludf.DUMMYFUNCTION("""COMPUTED_VALUE"""),38.602173)</f>
        <v>38.602173</v>
      </c>
      <c r="L148" s="5">
        <f>IFERROR(__xludf.DUMMYFUNCTION("""COMPUTED_VALUE"""),-2.705479)</f>
        <v>-2.705479</v>
      </c>
      <c r="M148" s="5">
        <f>IFERROR(__xludf.DUMMYFUNCTION("""COMPUTED_VALUE"""),1040.0)</f>
        <v>1040</v>
      </c>
      <c r="N148" s="5">
        <f>IFERROR(__xludf.DUMMYFUNCTION("""COMPUTED_VALUE"""),16.0)</f>
        <v>16</v>
      </c>
      <c r="O148" s="5"/>
      <c r="P148" s="5"/>
      <c r="Q148" s="5" t="str">
        <f>IFERROR(__xludf.DUMMYFUNCTION("""COMPUTED_VALUE"""),"no")</f>
        <v>no</v>
      </c>
      <c r="R148" s="5" t="str">
        <f>IFERROR(__xludf.DUMMYFUNCTION("""COMPUTED_VALUE"""),"HiFi")</f>
        <v>HiFi</v>
      </c>
      <c r="S148" s="5" t="str">
        <f>IFERROR(__xludf.DUMMYFUNCTION("""COMPUTED_VALUE"""),"hifiasm_v0.16.1-r375")</f>
        <v>hifiasm_v0.16.1-r375</v>
      </c>
      <c r="T148" s="6" t="str">
        <f>IFERROR(__xludf.DUMMYFUNCTION("""COMPUTED_VALUE"""),"Individual")</f>
        <v>Individual</v>
      </c>
      <c r="U148" s="6">
        <f>IFERROR(__xludf.DUMMYFUNCTION("""COMPUTED_VALUE"""),2024.0)</f>
        <v>2024</v>
      </c>
      <c r="V148" s="6" t="str">
        <f>IFERROR(__xludf.DUMMYFUNCTION("""COMPUTED_VALUE"""),"no")</f>
        <v>no</v>
      </c>
      <c r="W148" s="6" t="str">
        <f>IFERROR(__xludf.DUMMYFUNCTION("""COMPUTED_VALUE"""),"Rabanal")</f>
        <v>Rabanal</v>
      </c>
      <c r="X148" s="5"/>
      <c r="Y148" s="5" t="str">
        <f>IFERROR(__xludf.DUMMYFUNCTION("""COMPUTED_VALUE"""),"unpublished")</f>
        <v>unpublished</v>
      </c>
      <c r="Z148" s="5"/>
      <c r="AA148" s="5"/>
      <c r="AB148" s="5"/>
    </row>
    <row r="149">
      <c r="A149" s="5">
        <f>IFERROR(__xludf.DUMMYFUNCTION("""COMPUTED_VALUE"""),100147.0)</f>
        <v>100147</v>
      </c>
      <c r="B149" s="5" t="str">
        <f>IFERROR(__xludf.DUMMYFUNCTION("""COMPUTED_VALUE"""),"IP-Rel-20")</f>
        <v>IP-Rel-20</v>
      </c>
      <c r="C149" s="5">
        <f>IFERROR(__xludf.DUMMYFUNCTION("""COMPUTED_VALUE"""),22087.0)</f>
        <v>22087</v>
      </c>
      <c r="D149" s="5"/>
      <c r="E149" s="5"/>
      <c r="F149" s="5">
        <f>IFERROR(__xludf.DUMMYFUNCTION("""COMPUTED_VALUE"""),1.0)</f>
        <v>1</v>
      </c>
      <c r="G149" s="5"/>
      <c r="H149" s="5"/>
      <c r="I149" s="5"/>
      <c r="J149" s="5"/>
      <c r="K149" s="5">
        <f>IFERROR(__xludf.DUMMYFUNCTION("""COMPUTED_VALUE"""),38.602173)</f>
        <v>38.602173</v>
      </c>
      <c r="L149" s="5">
        <f>IFERROR(__xludf.DUMMYFUNCTION("""COMPUTED_VALUE"""),-2.705479)</f>
        <v>-2.705479</v>
      </c>
      <c r="M149" s="5">
        <f>IFERROR(__xludf.DUMMYFUNCTION("""COMPUTED_VALUE"""),1040.0)</f>
        <v>1040</v>
      </c>
      <c r="N149" s="5">
        <f>IFERROR(__xludf.DUMMYFUNCTION("""COMPUTED_VALUE"""),13.0)</f>
        <v>13</v>
      </c>
      <c r="O149" s="5"/>
      <c r="P149" s="5"/>
      <c r="Q149" s="5" t="str">
        <f>IFERROR(__xludf.DUMMYFUNCTION("""COMPUTED_VALUE"""),"yes")</f>
        <v>yes</v>
      </c>
      <c r="R149" s="5" t="str">
        <f>IFERROR(__xludf.DUMMYFUNCTION("""COMPUTED_VALUE"""),"HiFi")</f>
        <v>HiFi</v>
      </c>
      <c r="S149" s="5" t="str">
        <f>IFERROR(__xludf.DUMMYFUNCTION("""COMPUTED_VALUE"""),"hifiasm_v0.16.1-r375")</f>
        <v>hifiasm_v0.16.1-r375</v>
      </c>
      <c r="T149" s="6" t="str">
        <f>IFERROR(__xludf.DUMMYFUNCTION("""COMPUTED_VALUE"""),"Individual")</f>
        <v>Individual</v>
      </c>
      <c r="U149" s="6">
        <f>IFERROR(__xludf.DUMMYFUNCTION("""COMPUTED_VALUE"""),2024.0)</f>
        <v>2024</v>
      </c>
      <c r="V149" s="6" t="str">
        <f>IFERROR(__xludf.DUMMYFUNCTION("""COMPUTED_VALUE"""),"no")</f>
        <v>no</v>
      </c>
      <c r="W149" s="6" t="str">
        <f>IFERROR(__xludf.DUMMYFUNCTION("""COMPUTED_VALUE"""),"Rabanal")</f>
        <v>Rabanal</v>
      </c>
      <c r="X149" s="5"/>
      <c r="Y149" s="5" t="str">
        <f>IFERROR(__xludf.DUMMYFUNCTION("""COMPUTED_VALUE"""),"unpublished")</f>
        <v>unpublished</v>
      </c>
      <c r="Z149" s="5"/>
      <c r="AA149" s="5"/>
      <c r="AB149" s="5"/>
    </row>
    <row r="150">
      <c r="A150" s="5">
        <f>IFERROR(__xludf.DUMMYFUNCTION("""COMPUTED_VALUE"""),100148.0)</f>
        <v>100148</v>
      </c>
      <c r="B150" s="5" t="str">
        <f>IFERROR(__xludf.DUMMYFUNCTION("""COMPUTED_VALUE"""),"IP-San-6")</f>
        <v>IP-San-6</v>
      </c>
      <c r="C150" s="5">
        <f>IFERROR(__xludf.DUMMYFUNCTION("""COMPUTED_VALUE"""),22088.0)</f>
        <v>22088</v>
      </c>
      <c r="D150" s="5"/>
      <c r="E150" s="5"/>
      <c r="F150" s="5">
        <f>IFERROR(__xludf.DUMMYFUNCTION("""COMPUTED_VALUE"""),1.0)</f>
        <v>1</v>
      </c>
      <c r="G150" s="5"/>
      <c r="H150" s="5"/>
      <c r="I150" s="5"/>
      <c r="J150" s="5"/>
      <c r="K150" s="5">
        <f>IFERROR(__xludf.DUMMYFUNCTION("""COMPUTED_VALUE"""),38.331366)</f>
        <v>38.331366</v>
      </c>
      <c r="L150" s="5">
        <f>IFERROR(__xludf.DUMMYFUNCTION("""COMPUTED_VALUE"""),-3.508882)</f>
        <v>-3.508882</v>
      </c>
      <c r="M150" s="5">
        <f>IFERROR(__xludf.DUMMYFUNCTION("""COMPUTED_VALUE"""),700.0)</f>
        <v>700</v>
      </c>
      <c r="N150" s="5">
        <f>IFERROR(__xludf.DUMMYFUNCTION("""COMPUTED_VALUE"""),11.0)</f>
        <v>11</v>
      </c>
      <c r="O150" s="5"/>
      <c r="P150" s="5"/>
      <c r="Q150" s="5" t="str">
        <f>IFERROR(__xludf.DUMMYFUNCTION("""COMPUTED_VALUE"""),"yes")</f>
        <v>yes</v>
      </c>
      <c r="R150" s="5" t="str">
        <f>IFERROR(__xludf.DUMMYFUNCTION("""COMPUTED_VALUE"""),"HiFi")</f>
        <v>HiFi</v>
      </c>
      <c r="S150" s="5" t="str">
        <f>IFERROR(__xludf.DUMMYFUNCTION("""COMPUTED_VALUE"""),"hifiasm_v0.16.1-r375")</f>
        <v>hifiasm_v0.16.1-r375</v>
      </c>
      <c r="T150" s="6" t="str">
        <f>IFERROR(__xludf.DUMMYFUNCTION("""COMPUTED_VALUE"""),"Individual")</f>
        <v>Individual</v>
      </c>
      <c r="U150" s="6">
        <f>IFERROR(__xludf.DUMMYFUNCTION("""COMPUTED_VALUE"""),2024.0)</f>
        <v>2024</v>
      </c>
      <c r="V150" s="6" t="str">
        <f>IFERROR(__xludf.DUMMYFUNCTION("""COMPUTED_VALUE"""),"no")</f>
        <v>no</v>
      </c>
      <c r="W150" s="6" t="str">
        <f>IFERROR(__xludf.DUMMYFUNCTION("""COMPUTED_VALUE"""),"Rabanal")</f>
        <v>Rabanal</v>
      </c>
      <c r="X150" s="5"/>
      <c r="Y150" s="5" t="str">
        <f>IFERROR(__xludf.DUMMYFUNCTION("""COMPUTED_VALUE"""),"unpublished")</f>
        <v>unpublished</v>
      </c>
      <c r="Z150" s="5"/>
      <c r="AA150" s="5"/>
      <c r="AB150" s="5"/>
    </row>
    <row r="151">
      <c r="A151" s="5">
        <f>IFERROR(__xludf.DUMMYFUNCTION("""COMPUTED_VALUE"""),100149.0)</f>
        <v>100149</v>
      </c>
      <c r="B151" s="5" t="str">
        <f>IFERROR(__xludf.DUMMYFUNCTION("""COMPUTED_VALUE"""),"IP-San-9")</f>
        <v>IP-San-9</v>
      </c>
      <c r="C151" s="5">
        <f>IFERROR(__xludf.DUMMYFUNCTION("""COMPUTED_VALUE"""),22089.0)</f>
        <v>22089</v>
      </c>
      <c r="D151" s="5"/>
      <c r="E151" s="5"/>
      <c r="F151" s="5">
        <f>IFERROR(__xludf.DUMMYFUNCTION("""COMPUTED_VALUE"""),1.0)</f>
        <v>1</v>
      </c>
      <c r="G151" s="5"/>
      <c r="H151" s="5"/>
      <c r="I151" s="5"/>
      <c r="J151" s="5"/>
      <c r="K151" s="5">
        <f>IFERROR(__xludf.DUMMYFUNCTION("""COMPUTED_VALUE"""),38.331366)</f>
        <v>38.331366</v>
      </c>
      <c r="L151" s="5">
        <f>IFERROR(__xludf.DUMMYFUNCTION("""COMPUTED_VALUE"""),-3.508882)</f>
        <v>-3.508882</v>
      </c>
      <c r="M151" s="5">
        <f>IFERROR(__xludf.DUMMYFUNCTION("""COMPUTED_VALUE"""),700.0)</f>
        <v>700</v>
      </c>
      <c r="N151" s="5">
        <f>IFERROR(__xludf.DUMMYFUNCTION("""COMPUTED_VALUE"""),8.0)</f>
        <v>8</v>
      </c>
      <c r="O151" s="5"/>
      <c r="P151" s="5"/>
      <c r="Q151" s="5" t="str">
        <f>IFERROR(__xludf.DUMMYFUNCTION("""COMPUTED_VALUE"""),"yes")</f>
        <v>yes</v>
      </c>
      <c r="R151" s="5" t="str">
        <f>IFERROR(__xludf.DUMMYFUNCTION("""COMPUTED_VALUE"""),"HiFi")</f>
        <v>HiFi</v>
      </c>
      <c r="S151" s="5" t="str">
        <f>IFERROR(__xludf.DUMMYFUNCTION("""COMPUTED_VALUE"""),"hifiasm_v0.16.1-r375")</f>
        <v>hifiasm_v0.16.1-r375</v>
      </c>
      <c r="T151" s="6" t="str">
        <f>IFERROR(__xludf.DUMMYFUNCTION("""COMPUTED_VALUE"""),"Individual")</f>
        <v>Individual</v>
      </c>
      <c r="U151" s="6">
        <f>IFERROR(__xludf.DUMMYFUNCTION("""COMPUTED_VALUE"""),2023.0)</f>
        <v>2023</v>
      </c>
      <c r="V151" s="6" t="str">
        <f>IFERROR(__xludf.DUMMYFUNCTION("""COMPUTED_VALUE"""),"yes")</f>
        <v>yes</v>
      </c>
      <c r="W151" s="6" t="str">
        <f>IFERROR(__xludf.DUMMYFUNCTION("""COMPUTED_VALUE"""),"Wlodzimierz")</f>
        <v>Wlodzimierz</v>
      </c>
      <c r="X151" s="5">
        <f>IFERROR(__xludf.DUMMYFUNCTION("""COMPUTED_VALUE"""),2023.0)</f>
        <v>2023</v>
      </c>
      <c r="Y151" s="5" t="str">
        <f>IFERROR(__xludf.DUMMYFUNCTION("""COMPUTED_VALUE"""),"Nature")</f>
        <v>Nature</v>
      </c>
      <c r="Z151" s="7" t="str">
        <f>IFERROR(__xludf.DUMMYFUNCTION("""COMPUTED_VALUE"""),"10.1038/s41586-023-06062-z")</f>
        <v>10.1038/s41586-023-06062-z</v>
      </c>
      <c r="AA151" s="7" t="str">
        <f>IFERROR(__xludf.DUMMYFUNCTION("""COMPUTED_VALUE"""),"https://www.nature.com/articles/s41586-023-06062-z")</f>
        <v>https://www.nature.com/articles/s41586-023-06062-z</v>
      </c>
      <c r="AB151" s="5"/>
    </row>
    <row r="152">
      <c r="A152" s="5">
        <f>IFERROR(__xludf.DUMMYFUNCTION("""COMPUTED_VALUE"""),100150.0)</f>
        <v>100150</v>
      </c>
      <c r="B152" s="5" t="str">
        <f>IFERROR(__xludf.DUMMYFUNCTION("""COMPUTED_VALUE"""),"IP-Scm-0")</f>
        <v>IP-Scm-0</v>
      </c>
      <c r="C152" s="5">
        <f>IFERROR(__xludf.DUMMYFUNCTION("""COMPUTED_VALUE"""),9580.0)</f>
        <v>9580</v>
      </c>
      <c r="D152" s="5"/>
      <c r="E152" s="5"/>
      <c r="F152" s="5">
        <f>IFERROR(__xludf.DUMMYFUNCTION("""COMPUTED_VALUE"""),1.0)</f>
        <v>1</v>
      </c>
      <c r="G152" s="5"/>
      <c r="H152" s="5"/>
      <c r="I152" s="5"/>
      <c r="J152" s="5" t="str">
        <f>IFERROR(__xludf.DUMMYFUNCTION("""COMPUTED_VALUE"""),"CS799321")</f>
        <v>CS799321</v>
      </c>
      <c r="K152" s="5">
        <f>IFERROR(__xludf.DUMMYFUNCTION("""COMPUTED_VALUE"""),38.680293)</f>
        <v>38.680293</v>
      </c>
      <c r="L152" s="5">
        <f>IFERROR(__xludf.DUMMYFUNCTION("""COMPUTED_VALUE"""),-3.574345)</f>
        <v>-3.574345</v>
      </c>
      <c r="M152" s="5">
        <f>IFERROR(__xludf.DUMMYFUNCTION("""COMPUTED_VALUE"""),730.0)</f>
        <v>730</v>
      </c>
      <c r="N152" s="5">
        <f>IFERROR(__xludf.DUMMYFUNCTION("""COMPUTED_VALUE"""),12.0)</f>
        <v>12</v>
      </c>
      <c r="O152" s="5"/>
      <c r="P152" s="5"/>
      <c r="Q152" s="5" t="str">
        <f>IFERROR(__xludf.DUMMYFUNCTION("""COMPUTED_VALUE"""),"yes")</f>
        <v>yes</v>
      </c>
      <c r="R152" s="5" t="str">
        <f>IFERROR(__xludf.DUMMYFUNCTION("""COMPUTED_VALUE"""),"HiFi")</f>
        <v>HiFi</v>
      </c>
      <c r="S152" s="5" t="str">
        <f>IFERROR(__xludf.DUMMYFUNCTION("""COMPUTED_VALUE"""),"hifiasm_v0.16.1-r375")</f>
        <v>hifiasm_v0.16.1-r375</v>
      </c>
      <c r="T152" s="6" t="str">
        <f>IFERROR(__xludf.DUMMYFUNCTION("""COMPUTED_VALUE"""),"Individual")</f>
        <v>Individual</v>
      </c>
      <c r="U152" s="6">
        <f>IFERROR(__xludf.DUMMYFUNCTION("""COMPUTED_VALUE"""),2024.0)</f>
        <v>2024</v>
      </c>
      <c r="V152" s="6" t="str">
        <f>IFERROR(__xludf.DUMMYFUNCTION("""COMPUTED_VALUE"""),"no")</f>
        <v>no</v>
      </c>
      <c r="W152" s="6" t="str">
        <f>IFERROR(__xludf.DUMMYFUNCTION("""COMPUTED_VALUE"""),"Rabanal")</f>
        <v>Rabanal</v>
      </c>
      <c r="X152" s="5"/>
      <c r="Y152" s="5" t="str">
        <f>IFERROR(__xludf.DUMMYFUNCTION("""COMPUTED_VALUE"""),"unpublished")</f>
        <v>unpublished</v>
      </c>
      <c r="Z152" s="5"/>
      <c r="AA152" s="5"/>
      <c r="AB152" s="5"/>
    </row>
    <row r="153">
      <c r="A153" s="5">
        <f>IFERROR(__xludf.DUMMYFUNCTION("""COMPUTED_VALUE"""),100151.0)</f>
        <v>100151</v>
      </c>
      <c r="B153" s="5" t="str">
        <f>IFERROR(__xludf.DUMMYFUNCTION("""COMPUTED_VALUE"""),"IP-Scm-2")</f>
        <v>IP-Scm-2</v>
      </c>
      <c r="C153" s="5">
        <f>IFERROR(__xludf.DUMMYFUNCTION("""COMPUTED_VALUE"""),22090.0)</f>
        <v>22090</v>
      </c>
      <c r="D153" s="5"/>
      <c r="E153" s="5"/>
      <c r="F153" s="5">
        <f>IFERROR(__xludf.DUMMYFUNCTION("""COMPUTED_VALUE"""),1.0)</f>
        <v>1</v>
      </c>
      <c r="G153" s="5"/>
      <c r="H153" s="5"/>
      <c r="I153" s="5"/>
      <c r="J153" s="5"/>
      <c r="K153" s="5">
        <f>IFERROR(__xludf.DUMMYFUNCTION("""COMPUTED_VALUE"""),38.680293)</f>
        <v>38.680293</v>
      </c>
      <c r="L153" s="5">
        <f>IFERROR(__xludf.DUMMYFUNCTION("""COMPUTED_VALUE"""),-3.574345)</f>
        <v>-3.574345</v>
      </c>
      <c r="M153" s="5">
        <f>IFERROR(__xludf.DUMMYFUNCTION("""COMPUTED_VALUE"""),730.0)</f>
        <v>730</v>
      </c>
      <c r="N153" s="5">
        <f>IFERROR(__xludf.DUMMYFUNCTION("""COMPUTED_VALUE"""),12.0)</f>
        <v>12</v>
      </c>
      <c r="O153" s="5"/>
      <c r="P153" s="5"/>
      <c r="Q153" s="5" t="str">
        <f>IFERROR(__xludf.DUMMYFUNCTION("""COMPUTED_VALUE"""),"yes")</f>
        <v>yes</v>
      </c>
      <c r="R153" s="5" t="str">
        <f>IFERROR(__xludf.DUMMYFUNCTION("""COMPUTED_VALUE"""),"HiFi")</f>
        <v>HiFi</v>
      </c>
      <c r="S153" s="5" t="str">
        <f>IFERROR(__xludf.DUMMYFUNCTION("""COMPUTED_VALUE"""),"hifiasm_v0.16.1-r375")</f>
        <v>hifiasm_v0.16.1-r375</v>
      </c>
      <c r="T153" s="6" t="str">
        <f>IFERROR(__xludf.DUMMYFUNCTION("""COMPUTED_VALUE"""),"Individual")</f>
        <v>Individual</v>
      </c>
      <c r="U153" s="6">
        <f>IFERROR(__xludf.DUMMYFUNCTION("""COMPUTED_VALUE"""),2024.0)</f>
        <v>2024</v>
      </c>
      <c r="V153" s="6" t="str">
        <f>IFERROR(__xludf.DUMMYFUNCTION("""COMPUTED_VALUE"""),"no")</f>
        <v>no</v>
      </c>
      <c r="W153" s="6" t="str">
        <f>IFERROR(__xludf.DUMMYFUNCTION("""COMPUTED_VALUE"""),"Rabanal")</f>
        <v>Rabanal</v>
      </c>
      <c r="X153" s="5"/>
      <c r="Y153" s="5" t="str">
        <f>IFERROR(__xludf.DUMMYFUNCTION("""COMPUTED_VALUE"""),"unpublished")</f>
        <v>unpublished</v>
      </c>
      <c r="Z153" s="5"/>
      <c r="AA153" s="5"/>
      <c r="AB153" s="5"/>
    </row>
    <row r="154">
      <c r="A154" s="5">
        <f>IFERROR(__xludf.DUMMYFUNCTION("""COMPUTED_VALUE"""),100152.0)</f>
        <v>100152</v>
      </c>
      <c r="B154" s="5" t="str">
        <f>IFERROR(__xludf.DUMMYFUNCTION("""COMPUTED_VALUE"""),"IP-Sln-0")</f>
        <v>IP-Sln-0</v>
      </c>
      <c r="C154" s="5">
        <f>IFERROR(__xludf.DUMMYFUNCTION("""COMPUTED_VALUE"""),22091.0)</f>
        <v>22091</v>
      </c>
      <c r="D154" s="5"/>
      <c r="E154" s="5"/>
      <c r="F154" s="5">
        <f>IFERROR(__xludf.DUMMYFUNCTION("""COMPUTED_VALUE"""),1.0)</f>
        <v>1</v>
      </c>
      <c r="G154" s="5"/>
      <c r="H154" s="5"/>
      <c r="I154" s="5"/>
      <c r="J154" s="5"/>
      <c r="K154" s="5">
        <f>IFERROR(__xludf.DUMMYFUNCTION("""COMPUTED_VALUE"""),40.356889)</f>
        <v>40.356889</v>
      </c>
      <c r="L154" s="5">
        <f>IFERROR(__xludf.DUMMYFUNCTION("""COMPUTED_VALUE"""),-3.994843)</f>
        <v>-3.994843</v>
      </c>
      <c r="M154" s="5">
        <f>IFERROR(__xludf.DUMMYFUNCTION("""COMPUTED_VALUE"""),646.0)</f>
        <v>646</v>
      </c>
      <c r="N154" s="5">
        <f>IFERROR(__xludf.DUMMYFUNCTION("""COMPUTED_VALUE"""),9.0)</f>
        <v>9</v>
      </c>
      <c r="O154" s="5"/>
      <c r="P154" s="5"/>
      <c r="Q154" s="5" t="str">
        <f>IFERROR(__xludf.DUMMYFUNCTION("""COMPUTED_VALUE"""),"yes")</f>
        <v>yes</v>
      </c>
      <c r="R154" s="5" t="str">
        <f>IFERROR(__xludf.DUMMYFUNCTION("""COMPUTED_VALUE"""),"HiFi")</f>
        <v>HiFi</v>
      </c>
      <c r="S154" s="5" t="str">
        <f>IFERROR(__xludf.DUMMYFUNCTION("""COMPUTED_VALUE"""),"hifiasm_v0.16.1-r375")</f>
        <v>hifiasm_v0.16.1-r375</v>
      </c>
      <c r="T154" s="6" t="str">
        <f>IFERROR(__xludf.DUMMYFUNCTION("""COMPUTED_VALUE"""),"Individual")</f>
        <v>Individual</v>
      </c>
      <c r="U154" s="6">
        <f>IFERROR(__xludf.DUMMYFUNCTION("""COMPUTED_VALUE"""),2024.0)</f>
        <v>2024</v>
      </c>
      <c r="V154" s="6" t="str">
        <f>IFERROR(__xludf.DUMMYFUNCTION("""COMPUTED_VALUE"""),"no")</f>
        <v>no</v>
      </c>
      <c r="W154" s="6" t="str">
        <f>IFERROR(__xludf.DUMMYFUNCTION("""COMPUTED_VALUE"""),"Rabanal")</f>
        <v>Rabanal</v>
      </c>
      <c r="X154" s="5"/>
      <c r="Y154" s="5" t="str">
        <f>IFERROR(__xludf.DUMMYFUNCTION("""COMPUTED_VALUE"""),"unpublished")</f>
        <v>unpublished</v>
      </c>
      <c r="Z154" s="5"/>
      <c r="AA154" s="5"/>
      <c r="AB154" s="5"/>
    </row>
    <row r="155">
      <c r="A155" s="5">
        <f>IFERROR(__xludf.DUMMYFUNCTION("""COMPUTED_VALUE"""),100153.0)</f>
        <v>100153</v>
      </c>
      <c r="B155" s="5" t="str">
        <f>IFERROR(__xludf.DUMMYFUNCTION("""COMPUTED_VALUE"""),"IP-Sln-22")</f>
        <v>IP-Sln-22</v>
      </c>
      <c r="C155" s="5">
        <f>IFERROR(__xludf.DUMMYFUNCTION("""COMPUTED_VALUE"""),22092.0)</f>
        <v>22092</v>
      </c>
      <c r="D155" s="5"/>
      <c r="E155" s="5"/>
      <c r="F155" s="5">
        <f>IFERROR(__xludf.DUMMYFUNCTION("""COMPUTED_VALUE"""),1.0)</f>
        <v>1</v>
      </c>
      <c r="G155" s="5"/>
      <c r="H155" s="5"/>
      <c r="I155" s="5"/>
      <c r="J155" s="5" t="str">
        <f>IFERROR(__xludf.DUMMYFUNCTION("""COMPUTED_VALUE"""),"CS2110077")</f>
        <v>CS2110077</v>
      </c>
      <c r="K155" s="5">
        <f>IFERROR(__xludf.DUMMYFUNCTION("""COMPUTED_VALUE"""),40.356889)</f>
        <v>40.356889</v>
      </c>
      <c r="L155" s="5">
        <f>IFERROR(__xludf.DUMMYFUNCTION("""COMPUTED_VALUE"""),-3.994843)</f>
        <v>-3.994843</v>
      </c>
      <c r="M155" s="5">
        <f>IFERROR(__xludf.DUMMYFUNCTION("""COMPUTED_VALUE"""),646.0)</f>
        <v>646</v>
      </c>
      <c r="N155" s="5">
        <f>IFERROR(__xludf.DUMMYFUNCTION("""COMPUTED_VALUE"""),8.0)</f>
        <v>8</v>
      </c>
      <c r="O155" s="5"/>
      <c r="P155" s="5"/>
      <c r="Q155" s="5" t="str">
        <f>IFERROR(__xludf.DUMMYFUNCTION("""COMPUTED_VALUE"""),"yes")</f>
        <v>yes</v>
      </c>
      <c r="R155" s="5" t="str">
        <f>IFERROR(__xludf.DUMMYFUNCTION("""COMPUTED_VALUE"""),"HiFi")</f>
        <v>HiFi</v>
      </c>
      <c r="S155" s="5" t="str">
        <f>IFERROR(__xludf.DUMMYFUNCTION("""COMPUTED_VALUE"""),"hifiasm_v0.16.1-r375")</f>
        <v>hifiasm_v0.16.1-r375</v>
      </c>
      <c r="T155" s="6" t="str">
        <f>IFERROR(__xludf.DUMMYFUNCTION("""COMPUTED_VALUE"""),"Individual")</f>
        <v>Individual</v>
      </c>
      <c r="U155" s="6">
        <f>IFERROR(__xludf.DUMMYFUNCTION("""COMPUTED_VALUE"""),2023.0)</f>
        <v>2023</v>
      </c>
      <c r="V155" s="6" t="str">
        <f>IFERROR(__xludf.DUMMYFUNCTION("""COMPUTED_VALUE"""),"yes")</f>
        <v>yes</v>
      </c>
      <c r="W155" s="6" t="str">
        <f>IFERROR(__xludf.DUMMYFUNCTION("""COMPUTED_VALUE"""),"Wlodzimierz")</f>
        <v>Wlodzimierz</v>
      </c>
      <c r="X155" s="5">
        <f>IFERROR(__xludf.DUMMYFUNCTION("""COMPUTED_VALUE"""),2023.0)</f>
        <v>2023</v>
      </c>
      <c r="Y155" s="5" t="str">
        <f>IFERROR(__xludf.DUMMYFUNCTION("""COMPUTED_VALUE"""),"Nature")</f>
        <v>Nature</v>
      </c>
      <c r="Z155" s="7" t="str">
        <f>IFERROR(__xludf.DUMMYFUNCTION("""COMPUTED_VALUE"""),"10.1038/s41586-023-06062-z")</f>
        <v>10.1038/s41586-023-06062-z</v>
      </c>
      <c r="AA155" s="7" t="str">
        <f>IFERROR(__xludf.DUMMYFUNCTION("""COMPUTED_VALUE"""),"https://www.nature.com/articles/s41586-023-06062-z")</f>
        <v>https://www.nature.com/articles/s41586-023-06062-z</v>
      </c>
      <c r="AB155" s="5"/>
    </row>
    <row r="156">
      <c r="A156" s="5">
        <f>IFERROR(__xludf.DUMMYFUNCTION("""COMPUTED_VALUE"""),100154.0)</f>
        <v>100154</v>
      </c>
      <c r="B156" s="5" t="str">
        <f>IFERROR(__xludf.DUMMYFUNCTION("""COMPUTED_VALUE"""),"IP-Tod-1")</f>
        <v>IP-Tod-1</v>
      </c>
      <c r="C156" s="5">
        <f>IFERROR(__xludf.DUMMYFUNCTION("""COMPUTED_VALUE"""),22093.0)</f>
        <v>22093</v>
      </c>
      <c r="D156" s="5"/>
      <c r="E156" s="5"/>
      <c r="F156" s="5">
        <f>IFERROR(__xludf.DUMMYFUNCTION("""COMPUTED_VALUE"""),1.0)</f>
        <v>1</v>
      </c>
      <c r="G156" s="5"/>
      <c r="H156" s="5"/>
      <c r="I156" s="5"/>
      <c r="J156" s="5"/>
      <c r="K156" s="5">
        <f>IFERROR(__xludf.DUMMYFUNCTION("""COMPUTED_VALUE"""),41.467911)</f>
        <v>41.467911</v>
      </c>
      <c r="L156" s="5">
        <f>IFERROR(__xludf.DUMMYFUNCTION("""COMPUTED_VALUE"""),-5.045448)</f>
        <v>-5.045448</v>
      </c>
      <c r="M156" s="5">
        <f>IFERROR(__xludf.DUMMYFUNCTION("""COMPUTED_VALUE"""),658.0)</f>
        <v>658</v>
      </c>
      <c r="N156" s="5">
        <f>IFERROR(__xludf.DUMMYFUNCTION("""COMPUTED_VALUE"""),33.0)</f>
        <v>33</v>
      </c>
      <c r="O156" s="5"/>
      <c r="P156" s="5"/>
      <c r="Q156" s="5" t="str">
        <f>IFERROR(__xludf.DUMMYFUNCTION("""COMPUTED_VALUE"""),"no")</f>
        <v>no</v>
      </c>
      <c r="R156" s="5" t="str">
        <f>IFERROR(__xludf.DUMMYFUNCTION("""COMPUTED_VALUE"""),"HiFi")</f>
        <v>HiFi</v>
      </c>
      <c r="S156" s="5" t="str">
        <f>IFERROR(__xludf.DUMMYFUNCTION("""COMPUTED_VALUE"""),"hifiasm_v0.16.1-r375")</f>
        <v>hifiasm_v0.16.1-r375</v>
      </c>
      <c r="T156" s="6" t="str">
        <f>IFERROR(__xludf.DUMMYFUNCTION("""COMPUTED_VALUE"""),"Individual")</f>
        <v>Individual</v>
      </c>
      <c r="U156" s="6">
        <f>IFERROR(__xludf.DUMMYFUNCTION("""COMPUTED_VALUE"""),2024.0)</f>
        <v>2024</v>
      </c>
      <c r="V156" s="6" t="str">
        <f>IFERROR(__xludf.DUMMYFUNCTION("""COMPUTED_VALUE"""),"no")</f>
        <v>no</v>
      </c>
      <c r="W156" s="6" t="str">
        <f>IFERROR(__xludf.DUMMYFUNCTION("""COMPUTED_VALUE"""),"Rabanal")</f>
        <v>Rabanal</v>
      </c>
      <c r="X156" s="5"/>
      <c r="Y156" s="5" t="str">
        <f>IFERROR(__xludf.DUMMYFUNCTION("""COMPUTED_VALUE"""),"unpublished")</f>
        <v>unpublished</v>
      </c>
      <c r="Z156" s="5"/>
      <c r="AA156" s="5"/>
      <c r="AB156" s="5"/>
    </row>
    <row r="157">
      <c r="A157" s="5">
        <f>IFERROR(__xludf.DUMMYFUNCTION("""COMPUTED_VALUE"""),100155.0)</f>
        <v>100155</v>
      </c>
      <c r="B157" s="5" t="str">
        <f>IFERROR(__xludf.DUMMYFUNCTION("""COMPUTED_VALUE"""),"IP-Tod-5")</f>
        <v>IP-Tod-5</v>
      </c>
      <c r="C157" s="5">
        <f>IFERROR(__xludf.DUMMYFUNCTION("""COMPUTED_VALUE"""),22094.0)</f>
        <v>22094</v>
      </c>
      <c r="D157" s="5"/>
      <c r="E157" s="5"/>
      <c r="F157" s="5">
        <f>IFERROR(__xludf.DUMMYFUNCTION("""COMPUTED_VALUE"""),1.0)</f>
        <v>1</v>
      </c>
      <c r="G157" s="5"/>
      <c r="H157" s="5"/>
      <c r="I157" s="5"/>
      <c r="J157" s="5" t="str">
        <f>IFERROR(__xludf.DUMMYFUNCTION("""COMPUTED_VALUE"""),"CS2110079")</f>
        <v>CS2110079</v>
      </c>
      <c r="K157" s="5">
        <f>IFERROR(__xludf.DUMMYFUNCTION("""COMPUTED_VALUE"""),41.467911)</f>
        <v>41.467911</v>
      </c>
      <c r="L157" s="5">
        <f>IFERROR(__xludf.DUMMYFUNCTION("""COMPUTED_VALUE"""),-5.045448)</f>
        <v>-5.045448</v>
      </c>
      <c r="M157" s="5">
        <f>IFERROR(__xludf.DUMMYFUNCTION("""COMPUTED_VALUE"""),658.0)</f>
        <v>658</v>
      </c>
      <c r="N157" s="5">
        <f>IFERROR(__xludf.DUMMYFUNCTION("""COMPUTED_VALUE"""),7.0)</f>
        <v>7</v>
      </c>
      <c r="O157" s="5"/>
      <c r="P157" s="5"/>
      <c r="Q157" s="5" t="str">
        <f>IFERROR(__xludf.DUMMYFUNCTION("""COMPUTED_VALUE"""),"yes")</f>
        <v>yes</v>
      </c>
      <c r="R157" s="5" t="str">
        <f>IFERROR(__xludf.DUMMYFUNCTION("""COMPUTED_VALUE"""),"HiFi")</f>
        <v>HiFi</v>
      </c>
      <c r="S157" s="5" t="str">
        <f>IFERROR(__xludf.DUMMYFUNCTION("""COMPUTED_VALUE"""),"hifiasm_v0.16.1-r375")</f>
        <v>hifiasm_v0.16.1-r375</v>
      </c>
      <c r="T157" s="6" t="str">
        <f>IFERROR(__xludf.DUMMYFUNCTION("""COMPUTED_VALUE"""),"Individual")</f>
        <v>Individual</v>
      </c>
      <c r="U157" s="6">
        <f>IFERROR(__xludf.DUMMYFUNCTION("""COMPUTED_VALUE"""),2024.0)</f>
        <v>2024</v>
      </c>
      <c r="V157" s="6" t="str">
        <f>IFERROR(__xludf.DUMMYFUNCTION("""COMPUTED_VALUE"""),"no")</f>
        <v>no</v>
      </c>
      <c r="W157" s="6" t="str">
        <f>IFERROR(__xludf.DUMMYFUNCTION("""COMPUTED_VALUE"""),"Rabanal")</f>
        <v>Rabanal</v>
      </c>
      <c r="X157" s="5"/>
      <c r="Y157" s="5" t="str">
        <f>IFERROR(__xludf.DUMMYFUNCTION("""COMPUTED_VALUE"""),"unpublished")</f>
        <v>unpublished</v>
      </c>
      <c r="Z157" s="5"/>
      <c r="AA157" s="5"/>
      <c r="AB157" s="5"/>
    </row>
    <row r="158">
      <c r="A158" s="5">
        <f>IFERROR(__xludf.DUMMYFUNCTION("""COMPUTED_VALUE"""),100156.0)</f>
        <v>100156</v>
      </c>
      <c r="B158" s="5" t="str">
        <f>IFERROR(__xludf.DUMMYFUNCTION("""COMPUTED_VALUE"""),"IP-Vao-0")</f>
        <v>IP-Vao-0</v>
      </c>
      <c r="C158" s="5">
        <f>IFERROR(__xludf.DUMMYFUNCTION("""COMPUTED_VALUE"""),22095.0)</f>
        <v>22095</v>
      </c>
      <c r="D158" s="5"/>
      <c r="E158" s="5"/>
      <c r="F158" s="5">
        <f>IFERROR(__xludf.DUMMYFUNCTION("""COMPUTED_VALUE"""),1.0)</f>
        <v>1</v>
      </c>
      <c r="G158" s="5"/>
      <c r="H158" s="5"/>
      <c r="I158" s="5"/>
      <c r="J158" s="5"/>
      <c r="K158" s="5">
        <f>IFERROR(__xludf.DUMMYFUNCTION("""COMPUTED_VALUE"""),41.575265)</f>
        <v>41.575265</v>
      </c>
      <c r="L158" s="5">
        <f>IFERROR(__xludf.DUMMYFUNCTION("""COMPUTED_VALUE"""),-7.552605)</f>
        <v>-7.552605</v>
      </c>
      <c r="M158" s="5">
        <f>IFERROR(__xludf.DUMMYFUNCTION("""COMPUTED_VALUE"""),532.0)</f>
        <v>532</v>
      </c>
      <c r="N158" s="5">
        <f>IFERROR(__xludf.DUMMYFUNCTION("""COMPUTED_VALUE"""),15.0)</f>
        <v>15</v>
      </c>
      <c r="O158" s="5"/>
      <c r="P158" s="5"/>
      <c r="Q158" s="5" t="str">
        <f>IFERROR(__xludf.DUMMYFUNCTION("""COMPUTED_VALUE"""),"yes")</f>
        <v>yes</v>
      </c>
      <c r="R158" s="5" t="str">
        <f>IFERROR(__xludf.DUMMYFUNCTION("""COMPUTED_VALUE"""),"HiFi")</f>
        <v>HiFi</v>
      </c>
      <c r="S158" s="5" t="str">
        <f>IFERROR(__xludf.DUMMYFUNCTION("""COMPUTED_VALUE"""),"hifiasm_v0.16.1-r375")</f>
        <v>hifiasm_v0.16.1-r375</v>
      </c>
      <c r="T158" s="6" t="str">
        <f>IFERROR(__xludf.DUMMYFUNCTION("""COMPUTED_VALUE"""),"Individual")</f>
        <v>Individual</v>
      </c>
      <c r="U158" s="6">
        <f>IFERROR(__xludf.DUMMYFUNCTION("""COMPUTED_VALUE"""),2024.0)</f>
        <v>2024</v>
      </c>
      <c r="V158" s="6" t="str">
        <f>IFERROR(__xludf.DUMMYFUNCTION("""COMPUTED_VALUE"""),"no")</f>
        <v>no</v>
      </c>
      <c r="W158" s="6" t="str">
        <f>IFERROR(__xludf.DUMMYFUNCTION("""COMPUTED_VALUE"""),"Rabanal")</f>
        <v>Rabanal</v>
      </c>
      <c r="X158" s="5"/>
      <c r="Y158" s="5" t="str">
        <f>IFERROR(__xludf.DUMMYFUNCTION("""COMPUTED_VALUE"""),"unpublished")</f>
        <v>unpublished</v>
      </c>
      <c r="Z158" s="5"/>
      <c r="AA158" s="5"/>
      <c r="AB158" s="5"/>
    </row>
    <row r="159">
      <c r="A159" s="5">
        <f>IFERROR(__xludf.DUMMYFUNCTION("""COMPUTED_VALUE"""),100157.0)</f>
        <v>100157</v>
      </c>
      <c r="B159" s="5" t="str">
        <f>IFERROR(__xludf.DUMMYFUNCTION("""COMPUTED_VALUE"""),"IP-Vao-8")</f>
        <v>IP-Vao-8</v>
      </c>
      <c r="C159" s="5">
        <f>IFERROR(__xludf.DUMMYFUNCTION("""COMPUTED_VALUE"""),22096.0)</f>
        <v>22096</v>
      </c>
      <c r="D159" s="5"/>
      <c r="E159" s="5"/>
      <c r="F159" s="5">
        <f>IFERROR(__xludf.DUMMYFUNCTION("""COMPUTED_VALUE"""),1.0)</f>
        <v>1</v>
      </c>
      <c r="G159" s="5"/>
      <c r="H159" s="5"/>
      <c r="I159" s="5"/>
      <c r="J159" s="5"/>
      <c r="K159" s="5">
        <f>IFERROR(__xludf.DUMMYFUNCTION("""COMPUTED_VALUE"""),41.575265)</f>
        <v>41.575265</v>
      </c>
      <c r="L159" s="5">
        <f>IFERROR(__xludf.DUMMYFUNCTION("""COMPUTED_VALUE"""),-7.552605)</f>
        <v>-7.552605</v>
      </c>
      <c r="M159" s="5">
        <f>IFERROR(__xludf.DUMMYFUNCTION("""COMPUTED_VALUE"""),532.0)</f>
        <v>532</v>
      </c>
      <c r="N159" s="5">
        <f>IFERROR(__xludf.DUMMYFUNCTION("""COMPUTED_VALUE"""),13.0)</f>
        <v>13</v>
      </c>
      <c r="O159" s="5"/>
      <c r="P159" s="5"/>
      <c r="Q159" s="5" t="str">
        <f>IFERROR(__xludf.DUMMYFUNCTION("""COMPUTED_VALUE"""),"yes")</f>
        <v>yes</v>
      </c>
      <c r="R159" s="5" t="str">
        <f>IFERROR(__xludf.DUMMYFUNCTION("""COMPUTED_VALUE"""),"HiFi")</f>
        <v>HiFi</v>
      </c>
      <c r="S159" s="5" t="str">
        <f>IFERROR(__xludf.DUMMYFUNCTION("""COMPUTED_VALUE"""),"hifiasm_v0.16.1-r375")</f>
        <v>hifiasm_v0.16.1-r375</v>
      </c>
      <c r="T159" s="6" t="str">
        <f>IFERROR(__xludf.DUMMYFUNCTION("""COMPUTED_VALUE"""),"Individual")</f>
        <v>Individual</v>
      </c>
      <c r="U159" s="6">
        <f>IFERROR(__xludf.DUMMYFUNCTION("""COMPUTED_VALUE"""),2024.0)</f>
        <v>2024</v>
      </c>
      <c r="V159" s="6" t="str">
        <f>IFERROR(__xludf.DUMMYFUNCTION("""COMPUTED_VALUE"""),"no")</f>
        <v>no</v>
      </c>
      <c r="W159" s="6" t="str">
        <f>IFERROR(__xludf.DUMMYFUNCTION("""COMPUTED_VALUE"""),"Rabanal")</f>
        <v>Rabanal</v>
      </c>
      <c r="X159" s="5"/>
      <c r="Y159" s="5" t="str">
        <f>IFERROR(__xludf.DUMMYFUNCTION("""COMPUTED_VALUE"""),"unpublished")</f>
        <v>unpublished</v>
      </c>
      <c r="Z159" s="5"/>
      <c r="AA159" s="5"/>
      <c r="AB159" s="5"/>
    </row>
    <row r="160">
      <c r="A160" s="5">
        <f>IFERROR(__xludf.DUMMYFUNCTION("""COMPUTED_VALUE"""),100158.0)</f>
        <v>100158</v>
      </c>
      <c r="B160" s="5" t="str">
        <f>IFERROR(__xludf.DUMMYFUNCTION("""COMPUTED_VALUE"""),"IP-Hum-2")</f>
        <v>IP-Hum-2</v>
      </c>
      <c r="C160" s="5">
        <f>IFERROR(__xludf.DUMMYFUNCTION("""COMPUTED_VALUE"""),9549.0)</f>
        <v>9549</v>
      </c>
      <c r="D160" s="5"/>
      <c r="E160" s="5">
        <f>IFERROR(__xludf.DUMMYFUNCTION("""COMPUTED_VALUE"""),100122.0)</f>
        <v>100122</v>
      </c>
      <c r="F160" s="5">
        <f>IFERROR(__xludf.DUMMYFUNCTION("""COMPUTED_VALUE"""),2.0)</f>
        <v>2</v>
      </c>
      <c r="G160" s="5"/>
      <c r="H160" s="5" t="str">
        <f>IFERROR(__xludf.DUMMYFUNCTION("""COMPUTED_VALUE"""),"ONT does not look as good")</f>
        <v>ONT does not look as good</v>
      </c>
      <c r="I160" s="5"/>
      <c r="J160" s="5" t="str">
        <f>IFERROR(__xludf.DUMMYFUNCTION("""COMPUTED_VALUE"""),"CS76943")</f>
        <v>CS76943</v>
      </c>
      <c r="K160" s="5">
        <f>IFERROR(__xludf.DUMMYFUNCTION("""COMPUTED_VALUE"""),42.227184)</f>
        <v>42.227184</v>
      </c>
      <c r="L160" s="5">
        <f>IFERROR(__xludf.DUMMYFUNCTION("""COMPUTED_VALUE"""),-3.688887)</f>
        <v>-3.688887</v>
      </c>
      <c r="M160" s="5">
        <f>IFERROR(__xludf.DUMMYFUNCTION("""COMPUTED_VALUE"""),924.0)</f>
        <v>924</v>
      </c>
      <c r="N160" s="5">
        <f>IFERROR(__xludf.DUMMYFUNCTION("""COMPUTED_VALUE"""),9.0)</f>
        <v>9</v>
      </c>
      <c r="O160" s="5"/>
      <c r="P160" s="5"/>
      <c r="Q160" s="5" t="str">
        <f>IFERROR(__xludf.DUMMYFUNCTION("""COMPUTED_VALUE"""),"yes")</f>
        <v>yes</v>
      </c>
      <c r="R160" s="5" t="str">
        <f>IFERROR(__xludf.DUMMYFUNCTION("""COMPUTED_VALUE"""),"HiFi")</f>
        <v>HiFi</v>
      </c>
      <c r="S160" s="5" t="str">
        <f>IFERROR(__xludf.DUMMYFUNCTION("""COMPUTED_VALUE"""),"hifiasm_v0.16.1-r375")</f>
        <v>hifiasm_v0.16.1-r375</v>
      </c>
      <c r="T160" s="6" t="str">
        <f>IFERROR(__xludf.DUMMYFUNCTION("""COMPUTED_VALUE"""),"Individual")</f>
        <v>Individual</v>
      </c>
      <c r="U160" s="6">
        <f>IFERROR(__xludf.DUMMYFUNCTION("""COMPUTED_VALUE"""),2024.0)</f>
        <v>2024</v>
      </c>
      <c r="V160" s="6"/>
      <c r="W160" s="6" t="str">
        <f>IFERROR(__xludf.DUMMYFUNCTION("""COMPUTED_VALUE"""),"Wlodzimierz")</f>
        <v>Wlodzimierz</v>
      </c>
      <c r="X160" s="5">
        <f>IFERROR(__xludf.DUMMYFUNCTION("""COMPUTED_VALUE"""),2023.0)</f>
        <v>2023</v>
      </c>
      <c r="Y160" s="5" t="str">
        <f>IFERROR(__xludf.DUMMYFUNCTION("""COMPUTED_VALUE"""),"Nature")</f>
        <v>Nature</v>
      </c>
      <c r="Z160" s="5"/>
      <c r="AA160" s="5"/>
      <c r="AB160" s="5"/>
    </row>
    <row r="161">
      <c r="A161" s="5">
        <f>IFERROR(__xludf.DUMMYFUNCTION("""COMPUTED_VALUE"""),100159.0)</f>
        <v>100159</v>
      </c>
      <c r="B161" s="5" t="str">
        <f>IFERROR(__xludf.DUMMYFUNCTION("""COMPUTED_VALUE"""),"IP-Cat-0")</f>
        <v>IP-Cat-0</v>
      </c>
      <c r="C161" s="5">
        <f>IFERROR(__xludf.DUMMYFUNCTION("""COMPUTED_VALUE"""),9832.0)</f>
        <v>9832</v>
      </c>
      <c r="D161" s="5"/>
      <c r="E161" s="5">
        <f>IFERROR(__xludf.DUMMYFUNCTION("""COMPUTED_VALUE"""),100112.0)</f>
        <v>100112</v>
      </c>
      <c r="F161" s="5">
        <f>IFERROR(__xludf.DUMMYFUNCTION("""COMPUTED_VALUE"""),2.0)</f>
        <v>2</v>
      </c>
      <c r="G161" s="5"/>
      <c r="H161" s="5" t="str">
        <f>IFERROR(__xludf.DUMMYFUNCTION("""COMPUTED_VALUE"""),"ONT does not look as good")</f>
        <v>ONT does not look as good</v>
      </c>
      <c r="I161" s="5"/>
      <c r="J161" s="5" t="str">
        <f>IFERROR(__xludf.DUMMYFUNCTION("""COMPUTED_VALUE"""),"CS76759")</f>
        <v>CS76759</v>
      </c>
      <c r="K161" s="5">
        <f>IFERROR(__xludf.DUMMYFUNCTION("""COMPUTED_VALUE"""),40.542081)</f>
        <v>40.542081</v>
      </c>
      <c r="L161" s="5">
        <f>IFERROR(__xludf.DUMMYFUNCTION("""COMPUTED_VALUE"""),-3.68695)</f>
        <v>-3.68695</v>
      </c>
      <c r="M161" s="5">
        <f>IFERROR(__xludf.DUMMYFUNCTION("""COMPUTED_VALUE"""),733.0)</f>
        <v>733</v>
      </c>
      <c r="N161" s="5">
        <f>IFERROR(__xludf.DUMMYFUNCTION("""COMPUTED_VALUE"""),8.0)</f>
        <v>8</v>
      </c>
      <c r="O161" s="5"/>
      <c r="P161" s="5"/>
      <c r="Q161" s="5" t="str">
        <f>IFERROR(__xludf.DUMMYFUNCTION("""COMPUTED_VALUE"""),"yes")</f>
        <v>yes</v>
      </c>
      <c r="R161" s="5" t="str">
        <f>IFERROR(__xludf.DUMMYFUNCTION("""COMPUTED_VALUE"""),"HiFi")</f>
        <v>HiFi</v>
      </c>
      <c r="S161" s="5" t="str">
        <f>IFERROR(__xludf.DUMMYFUNCTION("""COMPUTED_VALUE"""),"hifiasm_v0.16.1-r375")</f>
        <v>hifiasm_v0.16.1-r375</v>
      </c>
      <c r="T161" s="6" t="str">
        <f>IFERROR(__xludf.DUMMYFUNCTION("""COMPUTED_VALUE"""),"Individual")</f>
        <v>Individual</v>
      </c>
      <c r="U161" s="6">
        <f>IFERROR(__xludf.DUMMYFUNCTION("""COMPUTED_VALUE"""),2024.0)</f>
        <v>2024</v>
      </c>
      <c r="V161" s="6"/>
      <c r="W161" s="6" t="str">
        <f>IFERROR(__xludf.DUMMYFUNCTION("""COMPUTED_VALUE"""),"Wlodzimierz")</f>
        <v>Wlodzimierz</v>
      </c>
      <c r="X161" s="5">
        <f>IFERROR(__xludf.DUMMYFUNCTION("""COMPUTED_VALUE"""),2023.0)</f>
        <v>2023</v>
      </c>
      <c r="Y161" s="5" t="str">
        <f>IFERROR(__xludf.DUMMYFUNCTION("""COMPUTED_VALUE"""),"Nature")</f>
        <v>Nature</v>
      </c>
      <c r="Z161" s="5"/>
      <c r="AA161" s="5"/>
      <c r="AB161" s="5"/>
    </row>
    <row r="162">
      <c r="A162" s="5">
        <f>IFERROR(__xludf.DUMMYFUNCTION("""COMPUTED_VALUE"""),100160.0)</f>
        <v>100160</v>
      </c>
      <c r="B162" s="5" t="str">
        <f>IFERROR(__xludf.DUMMYFUNCTION("""COMPUTED_VALUE"""),"Est-1")</f>
        <v>Est-1</v>
      </c>
      <c r="C162" s="5">
        <f>IFERROR(__xludf.DUMMYFUNCTION("""COMPUTED_VALUE"""),6916.0)</f>
        <v>6916</v>
      </c>
      <c r="D162" s="5"/>
      <c r="E162" s="5"/>
      <c r="F162" s="5">
        <f>IFERROR(__xludf.DUMMYFUNCTION("""COMPUTED_VALUE"""),1.0)</f>
        <v>1</v>
      </c>
      <c r="G162" s="5"/>
      <c r="H162" s="5"/>
      <c r="I162" s="5"/>
      <c r="J162" s="5"/>
      <c r="K162" s="5">
        <f>IFERROR(__xludf.DUMMYFUNCTION("""COMPUTED_VALUE"""),58.3)</f>
        <v>58.3</v>
      </c>
      <c r="L162" s="5">
        <f>IFERROR(__xludf.DUMMYFUNCTION("""COMPUTED_VALUE"""),25.3)</f>
        <v>25.3</v>
      </c>
      <c r="M162" s="5"/>
      <c r="N162" s="5">
        <f>IFERROR(__xludf.DUMMYFUNCTION("""COMPUTED_VALUE"""),260.0)</f>
        <v>260</v>
      </c>
      <c r="O162" s="5"/>
      <c r="P162" s="5"/>
      <c r="Q162" s="5" t="str">
        <f>IFERROR(__xludf.DUMMYFUNCTION("""COMPUTED_VALUE"""),"no")</f>
        <v>no</v>
      </c>
      <c r="R162" s="5" t="str">
        <f>IFERROR(__xludf.DUMMYFUNCTION("""COMPUTED_VALUE"""),"CLR")</f>
        <v>CLR</v>
      </c>
      <c r="S162" s="5" t="str">
        <f>IFERROR(__xludf.DUMMYFUNCTION("""COMPUTED_VALUE"""),"Canu_v1.7")</f>
        <v>Canu_v1.7</v>
      </c>
      <c r="T162" s="6" t="str">
        <f>IFERROR(__xludf.DUMMYFUNCTION("""COMPUTED_VALUE"""),"Did_not_say")</f>
        <v>Did_not_say</v>
      </c>
      <c r="U162" s="6">
        <f>IFERROR(__xludf.DUMMYFUNCTION("""COMPUTED_VALUE"""),2023.0)</f>
        <v>2023</v>
      </c>
      <c r="V162" s="6" t="str">
        <f>IFERROR(__xludf.DUMMYFUNCTION("""COMPUTED_VALUE"""),"yes")</f>
        <v>yes</v>
      </c>
      <c r="W162" s="6" t="str">
        <f>IFERROR(__xludf.DUMMYFUNCTION("""COMPUTED_VALUE"""),"Wang")</f>
        <v>Wang</v>
      </c>
      <c r="X162" s="5">
        <f>IFERROR(__xludf.DUMMYFUNCTION("""COMPUTED_VALUE"""),2023.0)</f>
        <v>2023</v>
      </c>
      <c r="Y162" s="5" t="str">
        <f>IFERROR(__xludf.DUMMYFUNCTION("""COMPUTED_VALUE"""),"Cell")</f>
        <v>Cell</v>
      </c>
      <c r="Z162" s="7" t="str">
        <f>IFERROR(__xludf.DUMMYFUNCTION("""COMPUTED_VALUE"""),"10.1016/j.cell.2023.05.023")</f>
        <v>10.1016/j.cell.2023.05.023</v>
      </c>
      <c r="AA162" s="7" t="str">
        <f>IFERROR(__xludf.DUMMYFUNCTION("""COMPUTED_VALUE"""),"https://www.sciencedirect.com/science/article/pii/S0092867423005421?via%3Dihub")</f>
        <v>https://www.sciencedirect.com/science/article/pii/S0092867423005421?via%3Dihub</v>
      </c>
      <c r="AB162" s="5"/>
    </row>
    <row r="163">
      <c r="A163" s="5">
        <f>IFERROR(__xludf.DUMMYFUNCTION("""COMPUTED_VALUE"""),100161.0)</f>
        <v>100161</v>
      </c>
      <c r="B163" s="5" t="str">
        <f>IFERROR(__xludf.DUMMYFUNCTION("""COMPUTED_VALUE"""),"AH-7")</f>
        <v>AH-7</v>
      </c>
      <c r="C163" s="5">
        <f>IFERROR(__xludf.DUMMYFUNCTION("""COMPUTED_VALUE"""),22097.0)</f>
        <v>22097</v>
      </c>
      <c r="D163" s="5"/>
      <c r="E163" s="5">
        <f>IFERROR(__xludf.DUMMYFUNCTION("""COMPUTED_VALUE"""),100161.0)</f>
        <v>100161</v>
      </c>
      <c r="F163" s="5">
        <f>IFERROR(__xludf.DUMMYFUNCTION("""COMPUTED_VALUE"""),1.0)</f>
        <v>1</v>
      </c>
      <c r="G163" s="5"/>
      <c r="H163" s="5" t="b">
        <f>IFERROR(__xludf.DUMMYFUNCTION("""COMPUTED_VALUE"""),FALSE)</f>
        <v>0</v>
      </c>
      <c r="I163" s="5"/>
      <c r="J163" s="5"/>
      <c r="K163" s="5"/>
      <c r="L163" s="5"/>
      <c r="M163" s="5"/>
      <c r="N163" s="5">
        <f>IFERROR(__xludf.DUMMYFUNCTION("""COMPUTED_VALUE"""),34.0)</f>
        <v>34</v>
      </c>
      <c r="O163" s="5"/>
      <c r="P163" s="5"/>
      <c r="Q163" s="5" t="str">
        <f>IFERROR(__xludf.DUMMYFUNCTION("""COMPUTED_VALUE"""),"no")</f>
        <v>no</v>
      </c>
      <c r="R163" s="5" t="str">
        <f>IFERROR(__xludf.DUMMYFUNCTION("""COMPUTED_VALUE"""),"HiFi")</f>
        <v>HiFi</v>
      </c>
      <c r="S163" s="5" t="str">
        <f>IFERROR(__xludf.DUMMYFUNCTION("""COMPUTED_VALUE"""),"hifiasm_v0.18")</f>
        <v>hifiasm_v0.18</v>
      </c>
      <c r="T163" s="6" t="str">
        <f>IFERROR(__xludf.DUMMYFUNCTION("""COMPUTED_VALUE"""),"Pool")</f>
        <v>Pool</v>
      </c>
      <c r="U163" s="6">
        <f>IFERROR(__xludf.DUMMYFUNCTION("""COMPUTED_VALUE"""),2023.0)</f>
        <v>2023</v>
      </c>
      <c r="V163" s="6" t="str">
        <f>IFERROR(__xludf.DUMMYFUNCTION("""COMPUTED_VALUE"""),"yes")</f>
        <v>yes</v>
      </c>
      <c r="W163" s="6" t="str">
        <f>IFERROR(__xludf.DUMMYFUNCTION("""COMPUTED_VALUE"""),"Kang")</f>
        <v>Kang</v>
      </c>
      <c r="X163" s="5">
        <f>IFERROR(__xludf.DUMMYFUNCTION("""COMPUTED_VALUE"""),2023.0)</f>
        <v>2023</v>
      </c>
      <c r="Y163" s="5" t="str">
        <f>IFERROR(__xludf.DUMMYFUNCTION("""COMPUTED_VALUE"""),"NatCommun")</f>
        <v>NatCommun</v>
      </c>
      <c r="Z163" s="7" t="str">
        <f>IFERROR(__xludf.DUMMYFUNCTION("""COMPUTED_VALUE"""),"10.1038/s41467-023-42029-4")</f>
        <v>10.1038/s41467-023-42029-4</v>
      </c>
      <c r="AA163" s="7" t="str">
        <f>IFERROR(__xludf.DUMMYFUNCTION("""COMPUTED_VALUE"""),"https://www.nature.com/articles/s41467-023-42029-4")</f>
        <v>https://www.nature.com/articles/s41467-023-42029-4</v>
      </c>
      <c r="AB163" s="5"/>
    </row>
    <row r="164">
      <c r="A164" s="5">
        <f>IFERROR(__xludf.DUMMYFUNCTION("""COMPUTED_VALUE"""),100162.0)</f>
        <v>100162</v>
      </c>
      <c r="B164" s="5" t="str">
        <f>IFERROR(__xludf.DUMMYFUNCTION("""COMPUTED_VALUE"""),"Arb-0")</f>
        <v>Arb-0</v>
      </c>
      <c r="C164" s="5">
        <f>IFERROR(__xludf.DUMMYFUNCTION("""COMPUTED_VALUE"""),22098.0)</f>
        <v>22098</v>
      </c>
      <c r="D164" s="5"/>
      <c r="E164" s="5">
        <f>IFERROR(__xludf.DUMMYFUNCTION("""COMPUTED_VALUE"""),100162.0)</f>
        <v>100162</v>
      </c>
      <c r="F164" s="5">
        <f>IFERROR(__xludf.DUMMYFUNCTION("""COMPUTED_VALUE"""),1.0)</f>
        <v>1</v>
      </c>
      <c r="G164" s="5"/>
      <c r="H164" s="5" t="b">
        <f>IFERROR(__xludf.DUMMYFUNCTION("""COMPUTED_VALUE"""),FALSE)</f>
        <v>0</v>
      </c>
      <c r="I164" s="5"/>
      <c r="J164" s="5"/>
      <c r="K164" s="5"/>
      <c r="L164" s="5"/>
      <c r="M164" s="5"/>
      <c r="N164" s="5">
        <f>IFERROR(__xludf.DUMMYFUNCTION("""COMPUTED_VALUE"""),15.0)</f>
        <v>15</v>
      </c>
      <c r="O164" s="5"/>
      <c r="P164" s="5"/>
      <c r="Q164" s="5" t="str">
        <f>IFERROR(__xludf.DUMMYFUNCTION("""COMPUTED_VALUE"""),"no")</f>
        <v>no</v>
      </c>
      <c r="R164" s="5" t="str">
        <f>IFERROR(__xludf.DUMMYFUNCTION("""COMPUTED_VALUE"""),"HiFi")</f>
        <v>HiFi</v>
      </c>
      <c r="S164" s="5" t="str">
        <f>IFERROR(__xludf.DUMMYFUNCTION("""COMPUTED_VALUE"""),"hifiasm_v0.18")</f>
        <v>hifiasm_v0.18</v>
      </c>
      <c r="T164" s="6" t="str">
        <f>IFERROR(__xludf.DUMMYFUNCTION("""COMPUTED_VALUE"""),"Pool")</f>
        <v>Pool</v>
      </c>
      <c r="U164" s="6">
        <f>IFERROR(__xludf.DUMMYFUNCTION("""COMPUTED_VALUE"""),2023.0)</f>
        <v>2023</v>
      </c>
      <c r="V164" s="6" t="str">
        <f>IFERROR(__xludf.DUMMYFUNCTION("""COMPUTED_VALUE"""),"yes")</f>
        <v>yes</v>
      </c>
      <c r="W164" s="6" t="str">
        <f>IFERROR(__xludf.DUMMYFUNCTION("""COMPUTED_VALUE"""),"Kang")</f>
        <v>Kang</v>
      </c>
      <c r="X164" s="5">
        <f>IFERROR(__xludf.DUMMYFUNCTION("""COMPUTED_VALUE"""),2023.0)</f>
        <v>2023</v>
      </c>
      <c r="Y164" s="5" t="str">
        <f>IFERROR(__xludf.DUMMYFUNCTION("""COMPUTED_VALUE"""),"NatCommun")</f>
        <v>NatCommun</v>
      </c>
      <c r="Z164" s="7" t="str">
        <f>IFERROR(__xludf.DUMMYFUNCTION("""COMPUTED_VALUE"""),"10.1038/s41467-023-42029-4")</f>
        <v>10.1038/s41467-023-42029-4</v>
      </c>
      <c r="AA164" s="7" t="str">
        <f>IFERROR(__xludf.DUMMYFUNCTION("""COMPUTED_VALUE"""),"https://www.nature.com/articles/s41467-023-42029-4")</f>
        <v>https://www.nature.com/articles/s41467-023-42029-4</v>
      </c>
      <c r="AB164" s="5"/>
    </row>
    <row r="165">
      <c r="A165" s="5">
        <f>IFERROR(__xludf.DUMMYFUNCTION("""COMPUTED_VALUE"""),100163.0)</f>
        <v>100163</v>
      </c>
      <c r="B165" s="5" t="str">
        <f>IFERROR(__xludf.DUMMYFUNCTION("""COMPUTED_VALUE"""),"Belmonte-4-94")</f>
        <v>Belmonte-4-94</v>
      </c>
      <c r="C165" s="5">
        <f>IFERROR(__xludf.DUMMYFUNCTION("""COMPUTED_VALUE"""),957.0)</f>
        <v>957</v>
      </c>
      <c r="D165" s="5"/>
      <c r="E165" s="5">
        <f>IFERROR(__xludf.DUMMYFUNCTION("""COMPUTED_VALUE"""),100163.0)</f>
        <v>100163</v>
      </c>
      <c r="F165" s="5">
        <f>IFERROR(__xludf.DUMMYFUNCTION("""COMPUTED_VALUE"""),1.0)</f>
        <v>1</v>
      </c>
      <c r="G165" s="5"/>
      <c r="H165" s="5" t="b">
        <f>IFERROR(__xludf.DUMMYFUNCTION("""COMPUTED_VALUE"""),FALSE)</f>
        <v>0</v>
      </c>
      <c r="I165" s="5"/>
      <c r="J165" s="5"/>
      <c r="K165" s="5"/>
      <c r="L165" s="5"/>
      <c r="M165" s="5"/>
      <c r="N165" s="5">
        <f>IFERROR(__xludf.DUMMYFUNCTION("""COMPUTED_VALUE"""),17.0)</f>
        <v>17</v>
      </c>
      <c r="O165" s="5"/>
      <c r="P165" s="5"/>
      <c r="Q165" s="5" t="str">
        <f>IFERROR(__xludf.DUMMYFUNCTION("""COMPUTED_VALUE"""),"no")</f>
        <v>no</v>
      </c>
      <c r="R165" s="5" t="str">
        <f>IFERROR(__xludf.DUMMYFUNCTION("""COMPUTED_VALUE"""),"HiFi")</f>
        <v>HiFi</v>
      </c>
      <c r="S165" s="5" t="str">
        <f>IFERROR(__xludf.DUMMYFUNCTION("""COMPUTED_VALUE"""),"hifiasm_v0.18")</f>
        <v>hifiasm_v0.18</v>
      </c>
      <c r="T165" s="6" t="str">
        <f>IFERROR(__xludf.DUMMYFUNCTION("""COMPUTED_VALUE"""),"Pool")</f>
        <v>Pool</v>
      </c>
      <c r="U165" s="6">
        <f>IFERROR(__xludf.DUMMYFUNCTION("""COMPUTED_VALUE"""),2023.0)</f>
        <v>2023</v>
      </c>
      <c r="V165" s="6" t="str">
        <f>IFERROR(__xludf.DUMMYFUNCTION("""COMPUTED_VALUE"""),"yes")</f>
        <v>yes</v>
      </c>
      <c r="W165" s="6" t="str">
        <f>IFERROR(__xludf.DUMMYFUNCTION("""COMPUTED_VALUE"""),"Kang")</f>
        <v>Kang</v>
      </c>
      <c r="X165" s="5">
        <f>IFERROR(__xludf.DUMMYFUNCTION("""COMPUTED_VALUE"""),2023.0)</f>
        <v>2023</v>
      </c>
      <c r="Y165" s="5" t="str">
        <f>IFERROR(__xludf.DUMMYFUNCTION("""COMPUTED_VALUE"""),"NatCommun")</f>
        <v>NatCommun</v>
      </c>
      <c r="Z165" s="7" t="str">
        <f>IFERROR(__xludf.DUMMYFUNCTION("""COMPUTED_VALUE"""),"10.1038/s41467-023-42029-4")</f>
        <v>10.1038/s41467-023-42029-4</v>
      </c>
      <c r="AA165" s="7" t="str">
        <f>IFERROR(__xludf.DUMMYFUNCTION("""COMPUTED_VALUE"""),"https://www.nature.com/articles/s41467-023-42029-4")</f>
        <v>https://www.nature.com/articles/s41467-023-42029-4</v>
      </c>
      <c r="AB165" s="5"/>
    </row>
    <row r="166">
      <c r="A166" s="5">
        <f>IFERROR(__xludf.DUMMYFUNCTION("""COMPUTED_VALUE"""),100164.0)</f>
        <v>100164</v>
      </c>
      <c r="B166" s="5" t="str">
        <f>IFERROR(__xludf.DUMMYFUNCTION("""COMPUTED_VALUE"""),"Bor-1")</f>
        <v>Bor-1</v>
      </c>
      <c r="C166" s="5">
        <f>IFERROR(__xludf.DUMMYFUNCTION("""COMPUTED_VALUE"""),5837.0)</f>
        <v>5837</v>
      </c>
      <c r="D166" s="5"/>
      <c r="E166" s="5">
        <f>IFERROR(__xludf.DUMMYFUNCTION("""COMPUTED_VALUE"""),100164.0)</f>
        <v>100164</v>
      </c>
      <c r="F166" s="5">
        <f>IFERROR(__xludf.DUMMYFUNCTION("""COMPUTED_VALUE"""),1.0)</f>
        <v>1</v>
      </c>
      <c r="G166" s="5"/>
      <c r="H166" s="5" t="b">
        <f>IFERROR(__xludf.DUMMYFUNCTION("""COMPUTED_VALUE"""),FALSE)</f>
        <v>0</v>
      </c>
      <c r="I166" s="5"/>
      <c r="J166" s="5"/>
      <c r="K166" s="5"/>
      <c r="L166" s="5"/>
      <c r="M166" s="5"/>
      <c r="N166" s="5">
        <f>IFERROR(__xludf.DUMMYFUNCTION("""COMPUTED_VALUE"""),20.0)</f>
        <v>20</v>
      </c>
      <c r="O166" s="5"/>
      <c r="P166" s="5"/>
      <c r="Q166" s="5" t="str">
        <f>IFERROR(__xludf.DUMMYFUNCTION("""COMPUTED_VALUE"""),"no")</f>
        <v>no</v>
      </c>
      <c r="R166" s="5" t="str">
        <f>IFERROR(__xludf.DUMMYFUNCTION("""COMPUTED_VALUE"""),"HiFi")</f>
        <v>HiFi</v>
      </c>
      <c r="S166" s="5" t="str">
        <f>IFERROR(__xludf.DUMMYFUNCTION("""COMPUTED_VALUE"""),"hifiasm_v0.18")</f>
        <v>hifiasm_v0.18</v>
      </c>
      <c r="T166" s="6" t="str">
        <f>IFERROR(__xludf.DUMMYFUNCTION("""COMPUTED_VALUE"""),"Pool")</f>
        <v>Pool</v>
      </c>
      <c r="U166" s="6">
        <f>IFERROR(__xludf.DUMMYFUNCTION("""COMPUTED_VALUE"""),2023.0)</f>
        <v>2023</v>
      </c>
      <c r="V166" s="6" t="str">
        <f>IFERROR(__xludf.DUMMYFUNCTION("""COMPUTED_VALUE"""),"yes")</f>
        <v>yes</v>
      </c>
      <c r="W166" s="6" t="str">
        <f>IFERROR(__xludf.DUMMYFUNCTION("""COMPUTED_VALUE"""),"Kang")</f>
        <v>Kang</v>
      </c>
      <c r="X166" s="5">
        <f>IFERROR(__xludf.DUMMYFUNCTION("""COMPUTED_VALUE"""),2023.0)</f>
        <v>2023</v>
      </c>
      <c r="Y166" s="5" t="str">
        <f>IFERROR(__xludf.DUMMYFUNCTION("""COMPUTED_VALUE"""),"NatCommun")</f>
        <v>NatCommun</v>
      </c>
      <c r="Z166" s="7" t="str">
        <f>IFERROR(__xludf.DUMMYFUNCTION("""COMPUTED_VALUE"""),"10.1038/s41467-023-42029-4")</f>
        <v>10.1038/s41467-023-42029-4</v>
      </c>
      <c r="AA166" s="7" t="str">
        <f>IFERROR(__xludf.DUMMYFUNCTION("""COMPUTED_VALUE"""),"https://www.nature.com/articles/s41467-023-42029-4")</f>
        <v>https://www.nature.com/articles/s41467-023-42029-4</v>
      </c>
      <c r="AB166" s="5"/>
    </row>
    <row r="167">
      <c r="A167" s="5">
        <f>IFERROR(__xludf.DUMMYFUNCTION("""COMPUTED_VALUE"""),100165.0)</f>
        <v>100165</v>
      </c>
      <c r="B167" s="5" t="str">
        <f>IFERROR(__xludf.DUMMYFUNCTION("""COMPUTED_VALUE"""),"Cdm-0")</f>
        <v>Cdm-0</v>
      </c>
      <c r="C167" s="5">
        <f>IFERROR(__xludf.DUMMYFUNCTION("""COMPUTED_VALUE"""),9943.0)</f>
        <v>9943</v>
      </c>
      <c r="D167" s="5"/>
      <c r="E167" s="5">
        <f>IFERROR(__xludf.DUMMYFUNCTION("""COMPUTED_VALUE"""),100165.0)</f>
        <v>100165</v>
      </c>
      <c r="F167" s="5">
        <f>IFERROR(__xludf.DUMMYFUNCTION("""COMPUTED_VALUE"""),1.0)</f>
        <v>1</v>
      </c>
      <c r="G167" s="5"/>
      <c r="H167" s="5" t="b">
        <f>IFERROR(__xludf.DUMMYFUNCTION("""COMPUTED_VALUE"""),FALSE)</f>
        <v>0</v>
      </c>
      <c r="I167" s="5"/>
      <c r="J167" s="5"/>
      <c r="K167" s="5"/>
      <c r="L167" s="5"/>
      <c r="M167" s="5"/>
      <c r="N167" s="5">
        <f>IFERROR(__xludf.DUMMYFUNCTION("""COMPUTED_VALUE"""),32.0)</f>
        <v>32</v>
      </c>
      <c r="O167" s="5"/>
      <c r="P167" s="5"/>
      <c r="Q167" s="5" t="str">
        <f>IFERROR(__xludf.DUMMYFUNCTION("""COMPUTED_VALUE"""),"no")</f>
        <v>no</v>
      </c>
      <c r="R167" s="5" t="str">
        <f>IFERROR(__xludf.DUMMYFUNCTION("""COMPUTED_VALUE"""),"HiFi")</f>
        <v>HiFi</v>
      </c>
      <c r="S167" s="5" t="str">
        <f>IFERROR(__xludf.DUMMYFUNCTION("""COMPUTED_VALUE"""),"hifiasm_v0.18")</f>
        <v>hifiasm_v0.18</v>
      </c>
      <c r="T167" s="6" t="str">
        <f>IFERROR(__xludf.DUMMYFUNCTION("""COMPUTED_VALUE"""),"Pool")</f>
        <v>Pool</v>
      </c>
      <c r="U167" s="6">
        <f>IFERROR(__xludf.DUMMYFUNCTION("""COMPUTED_VALUE"""),2023.0)</f>
        <v>2023</v>
      </c>
      <c r="V167" s="6" t="str">
        <f>IFERROR(__xludf.DUMMYFUNCTION("""COMPUTED_VALUE"""),"yes")</f>
        <v>yes</v>
      </c>
      <c r="W167" s="6" t="str">
        <f>IFERROR(__xludf.DUMMYFUNCTION("""COMPUTED_VALUE"""),"Kang")</f>
        <v>Kang</v>
      </c>
      <c r="X167" s="5">
        <f>IFERROR(__xludf.DUMMYFUNCTION("""COMPUTED_VALUE"""),2023.0)</f>
        <v>2023</v>
      </c>
      <c r="Y167" s="5" t="str">
        <f>IFERROR(__xludf.DUMMYFUNCTION("""COMPUTED_VALUE"""),"NatCommun")</f>
        <v>NatCommun</v>
      </c>
      <c r="Z167" s="7" t="str">
        <f>IFERROR(__xludf.DUMMYFUNCTION("""COMPUTED_VALUE"""),"10.1038/s41467-023-42029-4")</f>
        <v>10.1038/s41467-023-42029-4</v>
      </c>
      <c r="AA167" s="7" t="str">
        <f>IFERROR(__xludf.DUMMYFUNCTION("""COMPUTED_VALUE"""),"https://www.nature.com/articles/s41467-023-42029-4")</f>
        <v>https://www.nature.com/articles/s41467-023-42029-4</v>
      </c>
      <c r="AB167" s="5"/>
    </row>
    <row r="168">
      <c r="A168" s="5">
        <f>IFERROR(__xludf.DUMMYFUNCTION("""COMPUTED_VALUE"""),100166.0)</f>
        <v>100166</v>
      </c>
      <c r="B168" s="5" t="str">
        <f>IFERROR(__xludf.DUMMYFUNCTION("""COMPUTED_VALUE"""),"Col-0")</f>
        <v>Col-0</v>
      </c>
      <c r="C168" s="5">
        <f>IFERROR(__xludf.DUMMYFUNCTION("""COMPUTED_VALUE"""),6909.0)</f>
        <v>6909</v>
      </c>
      <c r="D168" s="5"/>
      <c r="E168" s="5">
        <f>IFERROR(__xludf.DUMMYFUNCTION("""COMPUTED_VALUE"""),100166.0)</f>
        <v>100166</v>
      </c>
      <c r="F168" s="5">
        <f>IFERROR(__xludf.DUMMYFUNCTION("""COMPUTED_VALUE"""),1.0)</f>
        <v>1</v>
      </c>
      <c r="G168" s="5"/>
      <c r="H168" s="5" t="b">
        <f>IFERROR(__xludf.DUMMYFUNCTION("""COMPUTED_VALUE"""),FALSE)</f>
        <v>0</v>
      </c>
      <c r="I168" s="5"/>
      <c r="J168" s="5"/>
      <c r="K168" s="5"/>
      <c r="L168" s="5"/>
      <c r="M168" s="5"/>
      <c r="N168" s="5">
        <f>IFERROR(__xludf.DUMMYFUNCTION("""COMPUTED_VALUE"""),25.0)</f>
        <v>25</v>
      </c>
      <c r="O168" s="5"/>
      <c r="P168" s="5"/>
      <c r="Q168" s="5" t="str">
        <f>IFERROR(__xludf.DUMMYFUNCTION("""COMPUTED_VALUE"""),"no")</f>
        <v>no</v>
      </c>
      <c r="R168" s="5" t="str">
        <f>IFERROR(__xludf.DUMMYFUNCTION("""COMPUTED_VALUE"""),"HiFi")</f>
        <v>HiFi</v>
      </c>
      <c r="S168" s="5" t="str">
        <f>IFERROR(__xludf.DUMMYFUNCTION("""COMPUTED_VALUE"""),"hifiasm_v0.18")</f>
        <v>hifiasm_v0.18</v>
      </c>
      <c r="T168" s="6" t="str">
        <f>IFERROR(__xludf.DUMMYFUNCTION("""COMPUTED_VALUE"""),"Pool")</f>
        <v>Pool</v>
      </c>
      <c r="U168" s="6">
        <f>IFERROR(__xludf.DUMMYFUNCTION("""COMPUTED_VALUE"""),2023.0)</f>
        <v>2023</v>
      </c>
      <c r="V168" s="6" t="str">
        <f>IFERROR(__xludf.DUMMYFUNCTION("""COMPUTED_VALUE"""),"yes")</f>
        <v>yes</v>
      </c>
      <c r="W168" s="6" t="str">
        <f>IFERROR(__xludf.DUMMYFUNCTION("""COMPUTED_VALUE"""),"Kang")</f>
        <v>Kang</v>
      </c>
      <c r="X168" s="5">
        <f>IFERROR(__xludf.DUMMYFUNCTION("""COMPUTED_VALUE"""),2023.0)</f>
        <v>2023</v>
      </c>
      <c r="Y168" s="5" t="str">
        <f>IFERROR(__xludf.DUMMYFUNCTION("""COMPUTED_VALUE"""),"NatCommun")</f>
        <v>NatCommun</v>
      </c>
      <c r="Z168" s="7" t="str">
        <f>IFERROR(__xludf.DUMMYFUNCTION("""COMPUTED_VALUE"""),"10.1038/s41467-023-42029-4")</f>
        <v>10.1038/s41467-023-42029-4</v>
      </c>
      <c r="AA168" s="7" t="str">
        <f>IFERROR(__xludf.DUMMYFUNCTION("""COMPUTED_VALUE"""),"https://www.nature.com/articles/s41467-023-42029-4")</f>
        <v>https://www.nature.com/articles/s41467-023-42029-4</v>
      </c>
      <c r="AB168" s="5"/>
    </row>
    <row r="169">
      <c r="A169" s="5">
        <f>IFERROR(__xludf.DUMMYFUNCTION("""COMPUTED_VALUE"""),100167.0)</f>
        <v>100167</v>
      </c>
      <c r="B169" s="5" t="str">
        <f>IFERROR(__xludf.DUMMYFUNCTION("""COMPUTED_VALUE"""),"Dra-2")</f>
        <v>Dra-2</v>
      </c>
      <c r="C169" s="5">
        <f>IFERROR(__xludf.DUMMYFUNCTION("""COMPUTED_VALUE"""),7105.0)</f>
        <v>7105</v>
      </c>
      <c r="D169" s="5"/>
      <c r="E169" s="5">
        <f>IFERROR(__xludf.DUMMYFUNCTION("""COMPUTED_VALUE"""),100167.0)</f>
        <v>100167</v>
      </c>
      <c r="F169" s="5">
        <f>IFERROR(__xludf.DUMMYFUNCTION("""COMPUTED_VALUE"""),1.0)</f>
        <v>1</v>
      </c>
      <c r="G169" s="5"/>
      <c r="H169" s="5" t="b">
        <f>IFERROR(__xludf.DUMMYFUNCTION("""COMPUTED_VALUE"""),FALSE)</f>
        <v>0</v>
      </c>
      <c r="I169" s="5"/>
      <c r="J169" s="5"/>
      <c r="K169" s="5"/>
      <c r="L169" s="5"/>
      <c r="M169" s="5"/>
      <c r="N169" s="5">
        <f>IFERROR(__xludf.DUMMYFUNCTION("""COMPUTED_VALUE"""),12.0)</f>
        <v>12</v>
      </c>
      <c r="O169" s="5"/>
      <c r="P169" s="5"/>
      <c r="Q169" s="5" t="str">
        <f>IFERROR(__xludf.DUMMYFUNCTION("""COMPUTED_VALUE"""),"no")</f>
        <v>no</v>
      </c>
      <c r="R169" s="5" t="str">
        <f>IFERROR(__xludf.DUMMYFUNCTION("""COMPUTED_VALUE"""),"HiFi")</f>
        <v>HiFi</v>
      </c>
      <c r="S169" s="5" t="str">
        <f>IFERROR(__xludf.DUMMYFUNCTION("""COMPUTED_VALUE"""),"hifiasm_v0.18")</f>
        <v>hifiasm_v0.18</v>
      </c>
      <c r="T169" s="6" t="str">
        <f>IFERROR(__xludf.DUMMYFUNCTION("""COMPUTED_VALUE"""),"Pool")</f>
        <v>Pool</v>
      </c>
      <c r="U169" s="6">
        <f>IFERROR(__xludf.DUMMYFUNCTION("""COMPUTED_VALUE"""),2023.0)</f>
        <v>2023</v>
      </c>
      <c r="V169" s="6" t="str">
        <f>IFERROR(__xludf.DUMMYFUNCTION("""COMPUTED_VALUE"""),"yes")</f>
        <v>yes</v>
      </c>
      <c r="W169" s="6" t="str">
        <f>IFERROR(__xludf.DUMMYFUNCTION("""COMPUTED_VALUE"""),"Kang")</f>
        <v>Kang</v>
      </c>
      <c r="X169" s="5">
        <f>IFERROR(__xludf.DUMMYFUNCTION("""COMPUTED_VALUE"""),2023.0)</f>
        <v>2023</v>
      </c>
      <c r="Y169" s="5" t="str">
        <f>IFERROR(__xludf.DUMMYFUNCTION("""COMPUTED_VALUE"""),"NatCommun")</f>
        <v>NatCommun</v>
      </c>
      <c r="Z169" s="7" t="str">
        <f>IFERROR(__xludf.DUMMYFUNCTION("""COMPUTED_VALUE"""),"10.1038/s41467-023-42029-4")</f>
        <v>10.1038/s41467-023-42029-4</v>
      </c>
      <c r="AA169" s="7" t="str">
        <f>IFERROR(__xludf.DUMMYFUNCTION("""COMPUTED_VALUE"""),"https://www.nature.com/articles/s41467-023-42029-4")</f>
        <v>https://www.nature.com/articles/s41467-023-42029-4</v>
      </c>
      <c r="AB169" s="5"/>
    </row>
    <row r="170">
      <c r="A170" s="5">
        <f>IFERROR(__xludf.DUMMYFUNCTION("""COMPUTED_VALUE"""),100168.0)</f>
        <v>100168</v>
      </c>
      <c r="B170" s="5" t="str">
        <f>IFERROR(__xludf.DUMMYFUNCTION("""COMPUTED_VALUE"""),"Elk-1")</f>
        <v>Elk-1</v>
      </c>
      <c r="C170" s="5">
        <f>IFERROR(__xludf.DUMMYFUNCTION("""COMPUTED_VALUE"""),22099.0)</f>
        <v>22099</v>
      </c>
      <c r="D170" s="5"/>
      <c r="E170" s="5">
        <f>IFERROR(__xludf.DUMMYFUNCTION("""COMPUTED_VALUE"""),100168.0)</f>
        <v>100168</v>
      </c>
      <c r="F170" s="5">
        <f>IFERROR(__xludf.DUMMYFUNCTION("""COMPUTED_VALUE"""),1.0)</f>
        <v>1</v>
      </c>
      <c r="G170" s="5"/>
      <c r="H170" s="5" t="b">
        <f>IFERROR(__xludf.DUMMYFUNCTION("""COMPUTED_VALUE"""),FALSE)</f>
        <v>0</v>
      </c>
      <c r="I170" s="5"/>
      <c r="J170" s="5"/>
      <c r="K170" s="5"/>
      <c r="L170" s="5"/>
      <c r="M170" s="5"/>
      <c r="N170" s="5">
        <f>IFERROR(__xludf.DUMMYFUNCTION("""COMPUTED_VALUE"""),32.0)</f>
        <v>32</v>
      </c>
      <c r="O170" s="5"/>
      <c r="P170" s="5"/>
      <c r="Q170" s="5" t="str">
        <f>IFERROR(__xludf.DUMMYFUNCTION("""COMPUTED_VALUE"""),"no")</f>
        <v>no</v>
      </c>
      <c r="R170" s="5" t="str">
        <f>IFERROR(__xludf.DUMMYFUNCTION("""COMPUTED_VALUE"""),"HiFi")</f>
        <v>HiFi</v>
      </c>
      <c r="S170" s="5" t="str">
        <f>IFERROR(__xludf.DUMMYFUNCTION("""COMPUTED_VALUE"""),"hifiasm_v0.18")</f>
        <v>hifiasm_v0.18</v>
      </c>
      <c r="T170" s="6" t="str">
        <f>IFERROR(__xludf.DUMMYFUNCTION("""COMPUTED_VALUE"""),"Pool")</f>
        <v>Pool</v>
      </c>
      <c r="U170" s="6">
        <f>IFERROR(__xludf.DUMMYFUNCTION("""COMPUTED_VALUE"""),2023.0)</f>
        <v>2023</v>
      </c>
      <c r="V170" s="6" t="str">
        <f>IFERROR(__xludf.DUMMYFUNCTION("""COMPUTED_VALUE"""),"yes")</f>
        <v>yes</v>
      </c>
      <c r="W170" s="6" t="str">
        <f>IFERROR(__xludf.DUMMYFUNCTION("""COMPUTED_VALUE"""),"Kang")</f>
        <v>Kang</v>
      </c>
      <c r="X170" s="5">
        <f>IFERROR(__xludf.DUMMYFUNCTION("""COMPUTED_VALUE"""),2023.0)</f>
        <v>2023</v>
      </c>
      <c r="Y170" s="5" t="str">
        <f>IFERROR(__xludf.DUMMYFUNCTION("""COMPUTED_VALUE"""),"NatCommun")</f>
        <v>NatCommun</v>
      </c>
      <c r="Z170" s="7" t="str">
        <f>IFERROR(__xludf.DUMMYFUNCTION("""COMPUTED_VALUE"""),"10.1038/s41467-023-42029-4")</f>
        <v>10.1038/s41467-023-42029-4</v>
      </c>
      <c r="AA170" s="7" t="str">
        <f>IFERROR(__xludf.DUMMYFUNCTION("""COMPUTED_VALUE"""),"https://www.nature.com/articles/s41467-023-42029-4")</f>
        <v>https://www.nature.com/articles/s41467-023-42029-4</v>
      </c>
      <c r="AB170" s="5"/>
    </row>
    <row r="171">
      <c r="A171" s="5">
        <f>IFERROR(__xludf.DUMMYFUNCTION("""COMPUTED_VALUE"""),100169.0)</f>
        <v>100169</v>
      </c>
      <c r="B171" s="5" t="str">
        <f>IFERROR(__xludf.DUMMYFUNCTION("""COMPUTED_VALUE"""),"Etna-2")</f>
        <v>Etna-2</v>
      </c>
      <c r="C171" s="5">
        <f>IFERROR(__xludf.DUMMYFUNCTION("""COMPUTED_VALUE"""),9762.0)</f>
        <v>9762</v>
      </c>
      <c r="D171" s="5"/>
      <c r="E171" s="5">
        <f>IFERROR(__xludf.DUMMYFUNCTION("""COMPUTED_VALUE"""),100169.0)</f>
        <v>100169</v>
      </c>
      <c r="F171" s="5">
        <f>IFERROR(__xludf.DUMMYFUNCTION("""COMPUTED_VALUE"""),1.0)</f>
        <v>1</v>
      </c>
      <c r="G171" s="5"/>
      <c r="H171" s="5" t="b">
        <f>IFERROR(__xludf.DUMMYFUNCTION("""COMPUTED_VALUE"""),FALSE)</f>
        <v>0</v>
      </c>
      <c r="I171" s="5"/>
      <c r="J171" s="5"/>
      <c r="K171" s="5"/>
      <c r="L171" s="5"/>
      <c r="M171" s="5"/>
      <c r="N171" s="5">
        <f>IFERROR(__xludf.DUMMYFUNCTION("""COMPUTED_VALUE"""),43.0)</f>
        <v>43</v>
      </c>
      <c r="O171" s="5"/>
      <c r="P171" s="5"/>
      <c r="Q171" s="5" t="str">
        <f>IFERROR(__xludf.DUMMYFUNCTION("""COMPUTED_VALUE"""),"no")</f>
        <v>no</v>
      </c>
      <c r="R171" s="5" t="str">
        <f>IFERROR(__xludf.DUMMYFUNCTION("""COMPUTED_VALUE"""),"HiFi")</f>
        <v>HiFi</v>
      </c>
      <c r="S171" s="5" t="str">
        <f>IFERROR(__xludf.DUMMYFUNCTION("""COMPUTED_VALUE"""),"hifiasm_v0.18")</f>
        <v>hifiasm_v0.18</v>
      </c>
      <c r="T171" s="6" t="str">
        <f>IFERROR(__xludf.DUMMYFUNCTION("""COMPUTED_VALUE"""),"Pool")</f>
        <v>Pool</v>
      </c>
      <c r="U171" s="6">
        <f>IFERROR(__xludf.DUMMYFUNCTION("""COMPUTED_VALUE"""),2023.0)</f>
        <v>2023</v>
      </c>
      <c r="V171" s="6" t="str">
        <f>IFERROR(__xludf.DUMMYFUNCTION("""COMPUTED_VALUE"""),"yes")</f>
        <v>yes</v>
      </c>
      <c r="W171" s="6" t="str">
        <f>IFERROR(__xludf.DUMMYFUNCTION("""COMPUTED_VALUE"""),"Kang")</f>
        <v>Kang</v>
      </c>
      <c r="X171" s="5">
        <f>IFERROR(__xludf.DUMMYFUNCTION("""COMPUTED_VALUE"""),2023.0)</f>
        <v>2023</v>
      </c>
      <c r="Y171" s="5" t="str">
        <f>IFERROR(__xludf.DUMMYFUNCTION("""COMPUTED_VALUE"""),"NatCommun")</f>
        <v>NatCommun</v>
      </c>
      <c r="Z171" s="7" t="str">
        <f>IFERROR(__xludf.DUMMYFUNCTION("""COMPUTED_VALUE"""),"10.1038/s41467-023-42029-4")</f>
        <v>10.1038/s41467-023-42029-4</v>
      </c>
      <c r="AA171" s="7" t="str">
        <f>IFERROR(__xludf.DUMMYFUNCTION("""COMPUTED_VALUE"""),"https://www.nature.com/articles/s41467-023-42029-4")</f>
        <v>https://www.nature.com/articles/s41467-023-42029-4</v>
      </c>
      <c r="AB171" s="5"/>
    </row>
    <row r="172">
      <c r="A172" s="5">
        <f>IFERROR(__xludf.DUMMYFUNCTION("""COMPUTED_VALUE"""),100170.0)</f>
        <v>100170</v>
      </c>
      <c r="B172" s="5" t="str">
        <f>IFERROR(__xludf.DUMMYFUNCTION("""COMPUTED_VALUE"""),"Got-22")</f>
        <v>Got-22</v>
      </c>
      <c r="C172" s="5">
        <f>IFERROR(__xludf.DUMMYFUNCTION("""COMPUTED_VALUE"""),6920.0)</f>
        <v>6920</v>
      </c>
      <c r="D172" s="5"/>
      <c r="E172" s="5">
        <f>IFERROR(__xludf.DUMMYFUNCTION("""COMPUTED_VALUE"""),100170.0)</f>
        <v>100170</v>
      </c>
      <c r="F172" s="5">
        <f>IFERROR(__xludf.DUMMYFUNCTION("""COMPUTED_VALUE"""),1.0)</f>
        <v>1</v>
      </c>
      <c r="G172" s="5"/>
      <c r="H172" s="5" t="b">
        <f>IFERROR(__xludf.DUMMYFUNCTION("""COMPUTED_VALUE"""),FALSE)</f>
        <v>0</v>
      </c>
      <c r="I172" s="5"/>
      <c r="J172" s="5"/>
      <c r="K172" s="5"/>
      <c r="L172" s="5"/>
      <c r="M172" s="5"/>
      <c r="N172" s="5">
        <f>IFERROR(__xludf.DUMMYFUNCTION("""COMPUTED_VALUE"""),29.0)</f>
        <v>29</v>
      </c>
      <c r="O172" s="5"/>
      <c r="P172" s="5"/>
      <c r="Q172" s="5" t="str">
        <f>IFERROR(__xludf.DUMMYFUNCTION("""COMPUTED_VALUE"""),"no")</f>
        <v>no</v>
      </c>
      <c r="R172" s="5" t="str">
        <f>IFERROR(__xludf.DUMMYFUNCTION("""COMPUTED_VALUE"""),"HiFi")</f>
        <v>HiFi</v>
      </c>
      <c r="S172" s="5" t="str">
        <f>IFERROR(__xludf.DUMMYFUNCTION("""COMPUTED_VALUE"""),"hifiasm_v0.18")</f>
        <v>hifiasm_v0.18</v>
      </c>
      <c r="T172" s="6" t="str">
        <f>IFERROR(__xludf.DUMMYFUNCTION("""COMPUTED_VALUE"""),"Pool")</f>
        <v>Pool</v>
      </c>
      <c r="U172" s="6">
        <f>IFERROR(__xludf.DUMMYFUNCTION("""COMPUTED_VALUE"""),2023.0)</f>
        <v>2023</v>
      </c>
      <c r="V172" s="6" t="str">
        <f>IFERROR(__xludf.DUMMYFUNCTION("""COMPUTED_VALUE"""),"yes")</f>
        <v>yes</v>
      </c>
      <c r="W172" s="6" t="str">
        <f>IFERROR(__xludf.DUMMYFUNCTION("""COMPUTED_VALUE"""),"Kang")</f>
        <v>Kang</v>
      </c>
      <c r="X172" s="5">
        <f>IFERROR(__xludf.DUMMYFUNCTION("""COMPUTED_VALUE"""),2023.0)</f>
        <v>2023</v>
      </c>
      <c r="Y172" s="5" t="str">
        <f>IFERROR(__xludf.DUMMYFUNCTION("""COMPUTED_VALUE"""),"NatCommun")</f>
        <v>NatCommun</v>
      </c>
      <c r="Z172" s="7" t="str">
        <f>IFERROR(__xludf.DUMMYFUNCTION("""COMPUTED_VALUE"""),"10.1038/s41467-023-42029-4")</f>
        <v>10.1038/s41467-023-42029-4</v>
      </c>
      <c r="AA172" s="7" t="str">
        <f>IFERROR(__xludf.DUMMYFUNCTION("""COMPUTED_VALUE"""),"https://www.nature.com/articles/s41467-023-42029-4")</f>
        <v>https://www.nature.com/articles/s41467-023-42029-4</v>
      </c>
      <c r="AB172" s="5"/>
    </row>
    <row r="173">
      <c r="A173" s="5">
        <f>IFERROR(__xludf.DUMMYFUNCTION("""COMPUTED_VALUE"""),100171.0)</f>
        <v>100171</v>
      </c>
      <c r="B173" s="5" t="str">
        <f>IFERROR(__xludf.DUMMYFUNCTION("""COMPUTED_VALUE"""),"Hs-0")</f>
        <v>Hs-0</v>
      </c>
      <c r="C173" s="5">
        <f>IFERROR(__xludf.DUMMYFUNCTION("""COMPUTED_VALUE"""),7162.0)</f>
        <v>7162</v>
      </c>
      <c r="D173" s="5"/>
      <c r="E173" s="5">
        <f>IFERROR(__xludf.DUMMYFUNCTION("""COMPUTED_VALUE"""),100171.0)</f>
        <v>100171</v>
      </c>
      <c r="F173" s="5">
        <f>IFERROR(__xludf.DUMMYFUNCTION("""COMPUTED_VALUE"""),1.0)</f>
        <v>1</v>
      </c>
      <c r="G173" s="5"/>
      <c r="H173" s="5" t="b">
        <f>IFERROR(__xludf.DUMMYFUNCTION("""COMPUTED_VALUE"""),FALSE)</f>
        <v>0</v>
      </c>
      <c r="I173" s="5"/>
      <c r="J173" s="5"/>
      <c r="K173" s="5"/>
      <c r="L173" s="5"/>
      <c r="M173" s="5"/>
      <c r="N173" s="5">
        <f>IFERROR(__xludf.DUMMYFUNCTION("""COMPUTED_VALUE"""),33.0)</f>
        <v>33</v>
      </c>
      <c r="O173" s="5"/>
      <c r="P173" s="5"/>
      <c r="Q173" s="5" t="str">
        <f>IFERROR(__xludf.DUMMYFUNCTION("""COMPUTED_VALUE"""),"no")</f>
        <v>no</v>
      </c>
      <c r="R173" s="5" t="str">
        <f>IFERROR(__xludf.DUMMYFUNCTION("""COMPUTED_VALUE"""),"HiFi")</f>
        <v>HiFi</v>
      </c>
      <c r="S173" s="5" t="str">
        <f>IFERROR(__xludf.DUMMYFUNCTION("""COMPUTED_VALUE"""),"hifiasm_v0.18")</f>
        <v>hifiasm_v0.18</v>
      </c>
      <c r="T173" s="6" t="str">
        <f>IFERROR(__xludf.DUMMYFUNCTION("""COMPUTED_VALUE"""),"Pool")</f>
        <v>Pool</v>
      </c>
      <c r="U173" s="6">
        <f>IFERROR(__xludf.DUMMYFUNCTION("""COMPUTED_VALUE"""),2023.0)</f>
        <v>2023</v>
      </c>
      <c r="V173" s="6" t="str">
        <f>IFERROR(__xludf.DUMMYFUNCTION("""COMPUTED_VALUE"""),"yes")</f>
        <v>yes</v>
      </c>
      <c r="W173" s="6" t="str">
        <f>IFERROR(__xludf.DUMMYFUNCTION("""COMPUTED_VALUE"""),"Kang")</f>
        <v>Kang</v>
      </c>
      <c r="X173" s="5">
        <f>IFERROR(__xludf.DUMMYFUNCTION("""COMPUTED_VALUE"""),2023.0)</f>
        <v>2023</v>
      </c>
      <c r="Y173" s="5" t="str">
        <f>IFERROR(__xludf.DUMMYFUNCTION("""COMPUTED_VALUE"""),"NatCommun")</f>
        <v>NatCommun</v>
      </c>
      <c r="Z173" s="7" t="str">
        <f>IFERROR(__xludf.DUMMYFUNCTION("""COMPUTED_VALUE"""),"10.1038/s41467-023-42029-4")</f>
        <v>10.1038/s41467-023-42029-4</v>
      </c>
      <c r="AA173" s="7" t="str">
        <f>IFERROR(__xludf.DUMMYFUNCTION("""COMPUTED_VALUE"""),"https://www.nature.com/articles/s41467-023-42029-4")</f>
        <v>https://www.nature.com/articles/s41467-023-42029-4</v>
      </c>
      <c r="AB173" s="5"/>
    </row>
    <row r="174">
      <c r="A174" s="5">
        <f>IFERROR(__xludf.DUMMYFUNCTION("""COMPUTED_VALUE"""),100172.0)</f>
        <v>100172</v>
      </c>
      <c r="B174" s="5" t="str">
        <f>IFERROR(__xludf.DUMMYFUNCTION("""COMPUTED_VALUE"""),"Kelsterbach-2")</f>
        <v>Kelsterbach-2</v>
      </c>
      <c r="C174" s="5">
        <f>IFERROR(__xludf.DUMMYFUNCTION("""COMPUTED_VALUE"""),7188.0)</f>
        <v>7188</v>
      </c>
      <c r="D174" s="5"/>
      <c r="E174" s="5">
        <f>IFERROR(__xludf.DUMMYFUNCTION("""COMPUTED_VALUE"""),100172.0)</f>
        <v>100172</v>
      </c>
      <c r="F174" s="5">
        <f>IFERROR(__xludf.DUMMYFUNCTION("""COMPUTED_VALUE"""),1.0)</f>
        <v>1</v>
      </c>
      <c r="G174" s="5"/>
      <c r="H174" s="5" t="b">
        <f>IFERROR(__xludf.DUMMYFUNCTION("""COMPUTED_VALUE"""),FALSE)</f>
        <v>0</v>
      </c>
      <c r="I174" s="5"/>
      <c r="J174" s="5"/>
      <c r="K174" s="5"/>
      <c r="L174" s="5"/>
      <c r="M174" s="5"/>
      <c r="N174" s="5">
        <f>IFERROR(__xludf.DUMMYFUNCTION("""COMPUTED_VALUE"""),14.0)</f>
        <v>14</v>
      </c>
      <c r="O174" s="5"/>
      <c r="P174" s="5"/>
      <c r="Q174" s="5" t="str">
        <f>IFERROR(__xludf.DUMMYFUNCTION("""COMPUTED_VALUE"""),"no")</f>
        <v>no</v>
      </c>
      <c r="R174" s="5" t="str">
        <f>IFERROR(__xludf.DUMMYFUNCTION("""COMPUTED_VALUE"""),"HiFi")</f>
        <v>HiFi</v>
      </c>
      <c r="S174" s="5" t="str">
        <f>IFERROR(__xludf.DUMMYFUNCTION("""COMPUTED_VALUE"""),"hifiasm_v0.18")</f>
        <v>hifiasm_v0.18</v>
      </c>
      <c r="T174" s="6" t="str">
        <f>IFERROR(__xludf.DUMMYFUNCTION("""COMPUTED_VALUE"""),"Pool")</f>
        <v>Pool</v>
      </c>
      <c r="U174" s="6">
        <f>IFERROR(__xludf.DUMMYFUNCTION("""COMPUTED_VALUE"""),2023.0)</f>
        <v>2023</v>
      </c>
      <c r="V174" s="6" t="str">
        <f>IFERROR(__xludf.DUMMYFUNCTION("""COMPUTED_VALUE"""),"yes")</f>
        <v>yes</v>
      </c>
      <c r="W174" s="6" t="str">
        <f>IFERROR(__xludf.DUMMYFUNCTION("""COMPUTED_VALUE"""),"Kang")</f>
        <v>Kang</v>
      </c>
      <c r="X174" s="5">
        <f>IFERROR(__xludf.DUMMYFUNCTION("""COMPUTED_VALUE"""),2023.0)</f>
        <v>2023</v>
      </c>
      <c r="Y174" s="5" t="str">
        <f>IFERROR(__xludf.DUMMYFUNCTION("""COMPUTED_VALUE"""),"NatCommun")</f>
        <v>NatCommun</v>
      </c>
      <c r="Z174" s="7" t="str">
        <f>IFERROR(__xludf.DUMMYFUNCTION("""COMPUTED_VALUE"""),"10.1038/s41467-023-42029-4")</f>
        <v>10.1038/s41467-023-42029-4</v>
      </c>
      <c r="AA174" s="7" t="str">
        <f>IFERROR(__xludf.DUMMYFUNCTION("""COMPUTED_VALUE"""),"https://www.nature.com/articles/s41467-023-42029-4")</f>
        <v>https://www.nature.com/articles/s41467-023-42029-4</v>
      </c>
      <c r="AB174" s="5"/>
    </row>
    <row r="175">
      <c r="A175" s="5">
        <f>IFERROR(__xludf.DUMMYFUNCTION("""COMPUTED_VALUE"""),100173.0)</f>
        <v>100173</v>
      </c>
      <c r="B175" s="5" t="str">
        <f>IFERROR(__xludf.DUMMYFUNCTION("""COMPUTED_VALUE"""),"Ket-10")</f>
        <v>Ket-10</v>
      </c>
      <c r="C175" s="5">
        <f>IFERROR(__xludf.DUMMYFUNCTION("""COMPUTED_VALUE"""),22100.0)</f>
        <v>22100</v>
      </c>
      <c r="D175" s="5"/>
      <c r="E175" s="5">
        <f>IFERROR(__xludf.DUMMYFUNCTION("""COMPUTED_VALUE"""),100173.0)</f>
        <v>100173</v>
      </c>
      <c r="F175" s="5">
        <f>IFERROR(__xludf.DUMMYFUNCTION("""COMPUTED_VALUE"""),1.0)</f>
        <v>1</v>
      </c>
      <c r="G175" s="5"/>
      <c r="H175" s="5" t="b">
        <f>IFERROR(__xludf.DUMMYFUNCTION("""COMPUTED_VALUE"""),FALSE)</f>
        <v>0</v>
      </c>
      <c r="I175" s="5"/>
      <c r="J175" s="5"/>
      <c r="K175" s="5"/>
      <c r="L175" s="5"/>
      <c r="M175" s="5"/>
      <c r="N175" s="5">
        <f>IFERROR(__xludf.DUMMYFUNCTION("""COMPUTED_VALUE"""),25.0)</f>
        <v>25</v>
      </c>
      <c r="O175" s="5"/>
      <c r="P175" s="5"/>
      <c r="Q175" s="5" t="str">
        <f>IFERROR(__xludf.DUMMYFUNCTION("""COMPUTED_VALUE"""),"no")</f>
        <v>no</v>
      </c>
      <c r="R175" s="5" t="str">
        <f>IFERROR(__xludf.DUMMYFUNCTION("""COMPUTED_VALUE"""),"HiFi")</f>
        <v>HiFi</v>
      </c>
      <c r="S175" s="5" t="str">
        <f>IFERROR(__xludf.DUMMYFUNCTION("""COMPUTED_VALUE"""),"hifiasm_v0.18")</f>
        <v>hifiasm_v0.18</v>
      </c>
      <c r="T175" s="6" t="str">
        <f>IFERROR(__xludf.DUMMYFUNCTION("""COMPUTED_VALUE"""),"Pool")</f>
        <v>Pool</v>
      </c>
      <c r="U175" s="6">
        <f>IFERROR(__xludf.DUMMYFUNCTION("""COMPUTED_VALUE"""),2023.0)</f>
        <v>2023</v>
      </c>
      <c r="V175" s="6" t="str">
        <f>IFERROR(__xludf.DUMMYFUNCTION("""COMPUTED_VALUE"""),"yes")</f>
        <v>yes</v>
      </c>
      <c r="W175" s="6" t="str">
        <f>IFERROR(__xludf.DUMMYFUNCTION("""COMPUTED_VALUE"""),"Kang")</f>
        <v>Kang</v>
      </c>
      <c r="X175" s="5">
        <f>IFERROR(__xludf.DUMMYFUNCTION("""COMPUTED_VALUE"""),2023.0)</f>
        <v>2023</v>
      </c>
      <c r="Y175" s="5" t="str">
        <f>IFERROR(__xludf.DUMMYFUNCTION("""COMPUTED_VALUE"""),"NatCommun")</f>
        <v>NatCommun</v>
      </c>
      <c r="Z175" s="7" t="str">
        <f>IFERROR(__xludf.DUMMYFUNCTION("""COMPUTED_VALUE"""),"10.1038/s41467-023-42029-4")</f>
        <v>10.1038/s41467-023-42029-4</v>
      </c>
      <c r="AA175" s="7" t="str">
        <f>IFERROR(__xludf.DUMMYFUNCTION("""COMPUTED_VALUE"""),"https://www.nature.com/articles/s41467-023-42029-4")</f>
        <v>https://www.nature.com/articles/s41467-023-42029-4</v>
      </c>
      <c r="AB175" s="5"/>
    </row>
    <row r="176">
      <c r="A176" s="5">
        <f>IFERROR(__xludf.DUMMYFUNCTION("""COMPUTED_VALUE"""),100174.0)</f>
        <v>100174</v>
      </c>
      <c r="B176" s="5" t="str">
        <f>IFERROR(__xludf.DUMMYFUNCTION("""COMPUTED_VALUE"""),"Kondara")</f>
        <v>Kondara</v>
      </c>
      <c r="C176" s="5">
        <f>IFERROR(__xludf.DUMMYFUNCTION("""COMPUTED_VALUE"""),6929.0)</f>
        <v>6929</v>
      </c>
      <c r="D176" s="5"/>
      <c r="E176" s="5">
        <f>IFERROR(__xludf.DUMMYFUNCTION("""COMPUTED_VALUE"""),100174.0)</f>
        <v>100174</v>
      </c>
      <c r="F176" s="5">
        <f>IFERROR(__xludf.DUMMYFUNCTION("""COMPUTED_VALUE"""),1.0)</f>
        <v>1</v>
      </c>
      <c r="G176" s="5"/>
      <c r="H176" s="5" t="b">
        <f>IFERROR(__xludf.DUMMYFUNCTION("""COMPUTED_VALUE"""),FALSE)</f>
        <v>0</v>
      </c>
      <c r="I176" s="5"/>
      <c r="J176" s="5"/>
      <c r="K176" s="5"/>
      <c r="L176" s="5"/>
      <c r="M176" s="5"/>
      <c r="N176" s="5">
        <f>IFERROR(__xludf.DUMMYFUNCTION("""COMPUTED_VALUE"""),23.0)</f>
        <v>23</v>
      </c>
      <c r="O176" s="5"/>
      <c r="P176" s="5"/>
      <c r="Q176" s="5" t="str">
        <f>IFERROR(__xludf.DUMMYFUNCTION("""COMPUTED_VALUE"""),"no")</f>
        <v>no</v>
      </c>
      <c r="R176" s="5" t="str">
        <f>IFERROR(__xludf.DUMMYFUNCTION("""COMPUTED_VALUE"""),"HiFi")</f>
        <v>HiFi</v>
      </c>
      <c r="S176" s="5" t="str">
        <f>IFERROR(__xludf.DUMMYFUNCTION("""COMPUTED_VALUE"""),"hifiasm_v0.18")</f>
        <v>hifiasm_v0.18</v>
      </c>
      <c r="T176" s="6" t="str">
        <f>IFERROR(__xludf.DUMMYFUNCTION("""COMPUTED_VALUE"""),"Pool")</f>
        <v>Pool</v>
      </c>
      <c r="U176" s="6">
        <f>IFERROR(__xludf.DUMMYFUNCTION("""COMPUTED_VALUE"""),2023.0)</f>
        <v>2023</v>
      </c>
      <c r="V176" s="6" t="str">
        <f>IFERROR(__xludf.DUMMYFUNCTION("""COMPUTED_VALUE"""),"yes")</f>
        <v>yes</v>
      </c>
      <c r="W176" s="6" t="str">
        <f>IFERROR(__xludf.DUMMYFUNCTION("""COMPUTED_VALUE"""),"Kang")</f>
        <v>Kang</v>
      </c>
      <c r="X176" s="5">
        <f>IFERROR(__xludf.DUMMYFUNCTION("""COMPUTED_VALUE"""),2023.0)</f>
        <v>2023</v>
      </c>
      <c r="Y176" s="5" t="str">
        <f>IFERROR(__xludf.DUMMYFUNCTION("""COMPUTED_VALUE"""),"NatCommun")</f>
        <v>NatCommun</v>
      </c>
      <c r="Z176" s="7" t="str">
        <f>IFERROR(__xludf.DUMMYFUNCTION("""COMPUTED_VALUE"""),"10.1038/s41467-023-42029-4")</f>
        <v>10.1038/s41467-023-42029-4</v>
      </c>
      <c r="AA176" s="7" t="str">
        <f>IFERROR(__xludf.DUMMYFUNCTION("""COMPUTED_VALUE"""),"https://www.nature.com/articles/s41467-023-42029-4")</f>
        <v>https://www.nature.com/articles/s41467-023-42029-4</v>
      </c>
      <c r="AB176" s="5"/>
    </row>
    <row r="177">
      <c r="A177" s="5">
        <f>IFERROR(__xludf.DUMMYFUNCTION("""COMPUTED_VALUE"""),100175.0)</f>
        <v>100175</v>
      </c>
      <c r="B177" s="5" t="str">
        <f>IFERROR(__xludf.DUMMYFUNCTION("""COMPUTED_VALUE"""),"Kz-9")</f>
        <v>Kz-9</v>
      </c>
      <c r="C177" s="5">
        <f>IFERROR(__xludf.DUMMYFUNCTION("""COMPUTED_VALUE"""),6931.0)</f>
        <v>6931</v>
      </c>
      <c r="D177" s="5"/>
      <c r="E177" s="5">
        <f>IFERROR(__xludf.DUMMYFUNCTION("""COMPUTED_VALUE"""),100175.0)</f>
        <v>100175</v>
      </c>
      <c r="F177" s="5">
        <f>IFERROR(__xludf.DUMMYFUNCTION("""COMPUTED_VALUE"""),1.0)</f>
        <v>1</v>
      </c>
      <c r="G177" s="5"/>
      <c r="H177" s="5" t="b">
        <f>IFERROR(__xludf.DUMMYFUNCTION("""COMPUTED_VALUE"""),FALSE)</f>
        <v>0</v>
      </c>
      <c r="I177" s="5"/>
      <c r="J177" s="5"/>
      <c r="K177" s="5"/>
      <c r="L177" s="5"/>
      <c r="M177" s="5"/>
      <c r="N177" s="5">
        <f>IFERROR(__xludf.DUMMYFUNCTION("""COMPUTED_VALUE"""),34.0)</f>
        <v>34</v>
      </c>
      <c r="O177" s="5"/>
      <c r="P177" s="5"/>
      <c r="Q177" s="5" t="str">
        <f>IFERROR(__xludf.DUMMYFUNCTION("""COMPUTED_VALUE"""),"no")</f>
        <v>no</v>
      </c>
      <c r="R177" s="5" t="str">
        <f>IFERROR(__xludf.DUMMYFUNCTION("""COMPUTED_VALUE"""),"HiFi")</f>
        <v>HiFi</v>
      </c>
      <c r="S177" s="5" t="str">
        <f>IFERROR(__xludf.DUMMYFUNCTION("""COMPUTED_VALUE"""),"hifiasm_v0.18")</f>
        <v>hifiasm_v0.18</v>
      </c>
      <c r="T177" s="6" t="str">
        <f>IFERROR(__xludf.DUMMYFUNCTION("""COMPUTED_VALUE"""),"Pool")</f>
        <v>Pool</v>
      </c>
      <c r="U177" s="6">
        <f>IFERROR(__xludf.DUMMYFUNCTION("""COMPUTED_VALUE"""),2023.0)</f>
        <v>2023</v>
      </c>
      <c r="V177" s="6" t="str">
        <f>IFERROR(__xludf.DUMMYFUNCTION("""COMPUTED_VALUE"""),"yes")</f>
        <v>yes</v>
      </c>
      <c r="W177" s="6" t="str">
        <f>IFERROR(__xludf.DUMMYFUNCTION("""COMPUTED_VALUE"""),"Kang")</f>
        <v>Kang</v>
      </c>
      <c r="X177" s="5">
        <f>IFERROR(__xludf.DUMMYFUNCTION("""COMPUTED_VALUE"""),2023.0)</f>
        <v>2023</v>
      </c>
      <c r="Y177" s="5" t="str">
        <f>IFERROR(__xludf.DUMMYFUNCTION("""COMPUTED_VALUE"""),"NatCommun")</f>
        <v>NatCommun</v>
      </c>
      <c r="Z177" s="7" t="str">
        <f>IFERROR(__xludf.DUMMYFUNCTION("""COMPUTED_VALUE"""),"10.1038/s41467-023-42029-4")</f>
        <v>10.1038/s41467-023-42029-4</v>
      </c>
      <c r="AA177" s="7" t="str">
        <f>IFERROR(__xludf.DUMMYFUNCTION("""COMPUTED_VALUE"""),"https://www.nature.com/articles/s41467-023-42029-4")</f>
        <v>https://www.nature.com/articles/s41467-023-42029-4</v>
      </c>
      <c r="AB177" s="5"/>
    </row>
    <row r="178">
      <c r="A178" s="5">
        <f>IFERROR(__xludf.DUMMYFUNCTION("""COMPUTED_VALUE"""),100176.0)</f>
        <v>100176</v>
      </c>
      <c r="B178" s="5" t="str">
        <f>IFERROR(__xludf.DUMMYFUNCTION("""COMPUTED_VALUE"""),"LI-OF-095")</f>
        <v>LI-OF-095</v>
      </c>
      <c r="C178" s="5">
        <f>IFERROR(__xludf.DUMMYFUNCTION("""COMPUTED_VALUE"""),641.0)</f>
        <v>641</v>
      </c>
      <c r="D178" s="5"/>
      <c r="E178" s="5">
        <f>IFERROR(__xludf.DUMMYFUNCTION("""COMPUTED_VALUE"""),100176.0)</f>
        <v>100176</v>
      </c>
      <c r="F178" s="5">
        <f>IFERROR(__xludf.DUMMYFUNCTION("""COMPUTED_VALUE"""),1.0)</f>
        <v>1</v>
      </c>
      <c r="G178" s="5"/>
      <c r="H178" s="5" t="b">
        <f>IFERROR(__xludf.DUMMYFUNCTION("""COMPUTED_VALUE"""),FALSE)</f>
        <v>0</v>
      </c>
      <c r="I178" s="5"/>
      <c r="J178" s="5"/>
      <c r="K178" s="5"/>
      <c r="L178" s="5"/>
      <c r="M178" s="5"/>
      <c r="N178" s="5">
        <f>IFERROR(__xludf.DUMMYFUNCTION("""COMPUTED_VALUE"""),36.0)</f>
        <v>36</v>
      </c>
      <c r="O178" s="5"/>
      <c r="P178" s="5"/>
      <c r="Q178" s="5" t="str">
        <f>IFERROR(__xludf.DUMMYFUNCTION("""COMPUTED_VALUE"""),"no")</f>
        <v>no</v>
      </c>
      <c r="R178" s="5" t="str">
        <f>IFERROR(__xludf.DUMMYFUNCTION("""COMPUTED_VALUE"""),"HiFi")</f>
        <v>HiFi</v>
      </c>
      <c r="S178" s="5" t="str">
        <f>IFERROR(__xludf.DUMMYFUNCTION("""COMPUTED_VALUE"""),"hifiasm_v0.18")</f>
        <v>hifiasm_v0.18</v>
      </c>
      <c r="T178" s="6" t="str">
        <f>IFERROR(__xludf.DUMMYFUNCTION("""COMPUTED_VALUE"""),"Pool")</f>
        <v>Pool</v>
      </c>
      <c r="U178" s="6">
        <f>IFERROR(__xludf.DUMMYFUNCTION("""COMPUTED_VALUE"""),2023.0)</f>
        <v>2023</v>
      </c>
      <c r="V178" s="6" t="str">
        <f>IFERROR(__xludf.DUMMYFUNCTION("""COMPUTED_VALUE"""),"yes")</f>
        <v>yes</v>
      </c>
      <c r="W178" s="6" t="str">
        <f>IFERROR(__xludf.DUMMYFUNCTION("""COMPUTED_VALUE"""),"Kang")</f>
        <v>Kang</v>
      </c>
      <c r="X178" s="5">
        <f>IFERROR(__xludf.DUMMYFUNCTION("""COMPUTED_VALUE"""),2023.0)</f>
        <v>2023</v>
      </c>
      <c r="Y178" s="5" t="str">
        <f>IFERROR(__xludf.DUMMYFUNCTION("""COMPUTED_VALUE"""),"NatCommun")</f>
        <v>NatCommun</v>
      </c>
      <c r="Z178" s="7" t="str">
        <f>IFERROR(__xludf.DUMMYFUNCTION("""COMPUTED_VALUE"""),"10.1038/s41467-023-42029-4")</f>
        <v>10.1038/s41467-023-42029-4</v>
      </c>
      <c r="AA178" s="7" t="str">
        <f>IFERROR(__xludf.DUMMYFUNCTION("""COMPUTED_VALUE"""),"https://www.nature.com/articles/s41467-023-42029-4")</f>
        <v>https://www.nature.com/articles/s41467-023-42029-4</v>
      </c>
      <c r="AB178" s="5"/>
    </row>
    <row r="179">
      <c r="A179" s="5">
        <f>IFERROR(__xludf.DUMMYFUNCTION("""COMPUTED_VALUE"""),100177.0)</f>
        <v>100177</v>
      </c>
      <c r="B179" s="5" t="str">
        <f>IFERROR(__xludf.DUMMYFUNCTION("""COMPUTED_VALUE"""),"LL-0")</f>
        <v>LL-0</v>
      </c>
      <c r="C179" s="5">
        <f>IFERROR(__xludf.DUMMYFUNCTION("""COMPUTED_VALUE"""),6933.0)</f>
        <v>6933</v>
      </c>
      <c r="D179" s="5"/>
      <c r="E179" s="5">
        <f>IFERROR(__xludf.DUMMYFUNCTION("""COMPUTED_VALUE"""),100177.0)</f>
        <v>100177</v>
      </c>
      <c r="F179" s="5">
        <f>IFERROR(__xludf.DUMMYFUNCTION("""COMPUTED_VALUE"""),1.0)</f>
        <v>1</v>
      </c>
      <c r="G179" s="5"/>
      <c r="H179" s="5" t="b">
        <f>IFERROR(__xludf.DUMMYFUNCTION("""COMPUTED_VALUE"""),FALSE)</f>
        <v>0</v>
      </c>
      <c r="I179" s="5"/>
      <c r="J179" s="5"/>
      <c r="K179" s="5"/>
      <c r="L179" s="5"/>
      <c r="M179" s="5"/>
      <c r="N179" s="5">
        <f>IFERROR(__xludf.DUMMYFUNCTION("""COMPUTED_VALUE"""),22.0)</f>
        <v>22</v>
      </c>
      <c r="O179" s="5"/>
      <c r="P179" s="5"/>
      <c r="Q179" s="5" t="str">
        <f>IFERROR(__xludf.DUMMYFUNCTION("""COMPUTED_VALUE"""),"no")</f>
        <v>no</v>
      </c>
      <c r="R179" s="5" t="str">
        <f>IFERROR(__xludf.DUMMYFUNCTION("""COMPUTED_VALUE"""),"HiFi")</f>
        <v>HiFi</v>
      </c>
      <c r="S179" s="5" t="str">
        <f>IFERROR(__xludf.DUMMYFUNCTION("""COMPUTED_VALUE"""),"hifiasm_v0.18")</f>
        <v>hifiasm_v0.18</v>
      </c>
      <c r="T179" s="6" t="str">
        <f>IFERROR(__xludf.DUMMYFUNCTION("""COMPUTED_VALUE"""),"Pool")</f>
        <v>Pool</v>
      </c>
      <c r="U179" s="6">
        <f>IFERROR(__xludf.DUMMYFUNCTION("""COMPUTED_VALUE"""),2023.0)</f>
        <v>2023</v>
      </c>
      <c r="V179" s="6" t="str">
        <f>IFERROR(__xludf.DUMMYFUNCTION("""COMPUTED_VALUE"""),"yes")</f>
        <v>yes</v>
      </c>
      <c r="W179" s="6" t="str">
        <f>IFERROR(__xludf.DUMMYFUNCTION("""COMPUTED_VALUE"""),"Kang")</f>
        <v>Kang</v>
      </c>
      <c r="X179" s="5">
        <f>IFERROR(__xludf.DUMMYFUNCTION("""COMPUTED_VALUE"""),2023.0)</f>
        <v>2023</v>
      </c>
      <c r="Y179" s="5" t="str">
        <f>IFERROR(__xludf.DUMMYFUNCTION("""COMPUTED_VALUE"""),"NatCommun")</f>
        <v>NatCommun</v>
      </c>
      <c r="Z179" s="7" t="str">
        <f>IFERROR(__xludf.DUMMYFUNCTION("""COMPUTED_VALUE"""),"10.1038/s41467-023-42029-4")</f>
        <v>10.1038/s41467-023-42029-4</v>
      </c>
      <c r="AA179" s="7" t="str">
        <f>IFERROR(__xludf.DUMMYFUNCTION("""COMPUTED_VALUE"""),"https://www.nature.com/articles/s41467-023-42029-4")</f>
        <v>https://www.nature.com/articles/s41467-023-42029-4</v>
      </c>
      <c r="AB179" s="5"/>
    </row>
    <row r="180">
      <c r="A180" s="5">
        <f>IFERROR(__xludf.DUMMYFUNCTION("""COMPUTED_VALUE"""),100178.0)</f>
        <v>100178</v>
      </c>
      <c r="B180" s="5" t="str">
        <f>IFERROR(__xludf.DUMMYFUNCTION("""COMPUTED_VALUE"""),"Mammo-1")</f>
        <v>Mammo-1</v>
      </c>
      <c r="C180" s="5">
        <f>IFERROR(__xludf.DUMMYFUNCTION("""COMPUTED_VALUE"""),9964.0)</f>
        <v>9964</v>
      </c>
      <c r="D180" s="5"/>
      <c r="E180" s="5">
        <f>IFERROR(__xludf.DUMMYFUNCTION("""COMPUTED_VALUE"""),100178.0)</f>
        <v>100178</v>
      </c>
      <c r="F180" s="5">
        <f>IFERROR(__xludf.DUMMYFUNCTION("""COMPUTED_VALUE"""),1.0)</f>
        <v>1</v>
      </c>
      <c r="G180" s="5"/>
      <c r="H180" s="5" t="b">
        <f>IFERROR(__xludf.DUMMYFUNCTION("""COMPUTED_VALUE"""),FALSE)</f>
        <v>0</v>
      </c>
      <c r="I180" s="5"/>
      <c r="J180" s="5"/>
      <c r="K180" s="5"/>
      <c r="L180" s="5"/>
      <c r="M180" s="5"/>
      <c r="N180" s="5">
        <f>IFERROR(__xludf.DUMMYFUNCTION("""COMPUTED_VALUE"""),46.0)</f>
        <v>46</v>
      </c>
      <c r="O180" s="5"/>
      <c r="P180" s="5"/>
      <c r="Q180" s="5" t="str">
        <f>IFERROR(__xludf.DUMMYFUNCTION("""COMPUTED_VALUE"""),"no")</f>
        <v>no</v>
      </c>
      <c r="R180" s="5" t="str">
        <f>IFERROR(__xludf.DUMMYFUNCTION("""COMPUTED_VALUE"""),"HiFi")</f>
        <v>HiFi</v>
      </c>
      <c r="S180" s="5" t="str">
        <f>IFERROR(__xludf.DUMMYFUNCTION("""COMPUTED_VALUE"""),"hifiasm_v0.18")</f>
        <v>hifiasm_v0.18</v>
      </c>
      <c r="T180" s="6" t="str">
        <f>IFERROR(__xludf.DUMMYFUNCTION("""COMPUTED_VALUE"""),"Pool")</f>
        <v>Pool</v>
      </c>
      <c r="U180" s="6">
        <f>IFERROR(__xludf.DUMMYFUNCTION("""COMPUTED_VALUE"""),2023.0)</f>
        <v>2023</v>
      </c>
      <c r="V180" s="6" t="str">
        <f>IFERROR(__xludf.DUMMYFUNCTION("""COMPUTED_VALUE"""),"yes")</f>
        <v>yes</v>
      </c>
      <c r="W180" s="6" t="str">
        <f>IFERROR(__xludf.DUMMYFUNCTION("""COMPUTED_VALUE"""),"Kang")</f>
        <v>Kang</v>
      </c>
      <c r="X180" s="5">
        <f>IFERROR(__xludf.DUMMYFUNCTION("""COMPUTED_VALUE"""),2023.0)</f>
        <v>2023</v>
      </c>
      <c r="Y180" s="5" t="str">
        <f>IFERROR(__xludf.DUMMYFUNCTION("""COMPUTED_VALUE"""),"NatCommun")</f>
        <v>NatCommun</v>
      </c>
      <c r="Z180" s="7" t="str">
        <f>IFERROR(__xludf.DUMMYFUNCTION("""COMPUTED_VALUE"""),"10.1038/s41467-023-42029-4")</f>
        <v>10.1038/s41467-023-42029-4</v>
      </c>
      <c r="AA180" s="7" t="str">
        <f>IFERROR(__xludf.DUMMYFUNCTION("""COMPUTED_VALUE"""),"https://www.nature.com/articles/s41467-023-42029-4")</f>
        <v>https://www.nature.com/articles/s41467-023-42029-4</v>
      </c>
      <c r="AB180" s="5"/>
    </row>
    <row r="181">
      <c r="A181" s="5">
        <f>IFERROR(__xludf.DUMMYFUNCTION("""COMPUTED_VALUE"""),100179.0)</f>
        <v>100179</v>
      </c>
      <c r="B181" s="5" t="str">
        <f>IFERROR(__xludf.DUMMYFUNCTION("""COMPUTED_VALUE"""),"Meh-0")</f>
        <v>Meh-0</v>
      </c>
      <c r="C181" s="5">
        <f>IFERROR(__xludf.DUMMYFUNCTION("""COMPUTED_VALUE"""),22101.0)</f>
        <v>22101</v>
      </c>
      <c r="D181" s="5"/>
      <c r="E181" s="5">
        <f>IFERROR(__xludf.DUMMYFUNCTION("""COMPUTED_VALUE"""),100179.0)</f>
        <v>100179</v>
      </c>
      <c r="F181" s="5">
        <f>IFERROR(__xludf.DUMMYFUNCTION("""COMPUTED_VALUE"""),1.0)</f>
        <v>1</v>
      </c>
      <c r="G181" s="5"/>
      <c r="H181" s="5" t="b">
        <f>IFERROR(__xludf.DUMMYFUNCTION("""COMPUTED_VALUE"""),FALSE)</f>
        <v>0</v>
      </c>
      <c r="I181" s="5"/>
      <c r="J181" s="5"/>
      <c r="K181" s="5"/>
      <c r="L181" s="5"/>
      <c r="M181" s="5"/>
      <c r="N181" s="5">
        <f>IFERROR(__xludf.DUMMYFUNCTION("""COMPUTED_VALUE"""),51.0)</f>
        <v>51</v>
      </c>
      <c r="O181" s="5"/>
      <c r="P181" s="5"/>
      <c r="Q181" s="5" t="str">
        <f>IFERROR(__xludf.DUMMYFUNCTION("""COMPUTED_VALUE"""),"no")</f>
        <v>no</v>
      </c>
      <c r="R181" s="5" t="str">
        <f>IFERROR(__xludf.DUMMYFUNCTION("""COMPUTED_VALUE"""),"HiFi")</f>
        <v>HiFi</v>
      </c>
      <c r="S181" s="5" t="str">
        <f>IFERROR(__xludf.DUMMYFUNCTION("""COMPUTED_VALUE"""),"hifiasm_v0.18")</f>
        <v>hifiasm_v0.18</v>
      </c>
      <c r="T181" s="6" t="str">
        <f>IFERROR(__xludf.DUMMYFUNCTION("""COMPUTED_VALUE"""),"Pool")</f>
        <v>Pool</v>
      </c>
      <c r="U181" s="6">
        <f>IFERROR(__xludf.DUMMYFUNCTION("""COMPUTED_VALUE"""),2023.0)</f>
        <v>2023</v>
      </c>
      <c r="V181" s="6" t="str">
        <f>IFERROR(__xludf.DUMMYFUNCTION("""COMPUTED_VALUE"""),"yes")</f>
        <v>yes</v>
      </c>
      <c r="W181" s="6" t="str">
        <f>IFERROR(__xludf.DUMMYFUNCTION("""COMPUTED_VALUE"""),"Kang")</f>
        <v>Kang</v>
      </c>
      <c r="X181" s="5">
        <f>IFERROR(__xludf.DUMMYFUNCTION("""COMPUTED_VALUE"""),2023.0)</f>
        <v>2023</v>
      </c>
      <c r="Y181" s="5" t="str">
        <f>IFERROR(__xludf.DUMMYFUNCTION("""COMPUTED_VALUE"""),"NatCommun")</f>
        <v>NatCommun</v>
      </c>
      <c r="Z181" s="7" t="str">
        <f>IFERROR(__xludf.DUMMYFUNCTION("""COMPUTED_VALUE"""),"10.1038/s41467-023-42029-4")</f>
        <v>10.1038/s41467-023-42029-4</v>
      </c>
      <c r="AA181" s="7" t="str">
        <f>IFERROR(__xludf.DUMMYFUNCTION("""COMPUTED_VALUE"""),"https://www.nature.com/articles/s41467-023-42029-4")</f>
        <v>https://www.nature.com/articles/s41467-023-42029-4</v>
      </c>
      <c r="AB181" s="5"/>
    </row>
    <row r="182">
      <c r="A182" s="5">
        <f>IFERROR(__xludf.DUMMYFUNCTION("""COMPUTED_VALUE"""),100180.0)</f>
        <v>100180</v>
      </c>
      <c r="B182" s="5" t="str">
        <f>IFERROR(__xludf.DUMMYFUNCTION("""COMPUTED_VALUE"""),"Ms-0")</f>
        <v>Ms-0</v>
      </c>
      <c r="C182" s="5">
        <f>IFERROR(__xludf.DUMMYFUNCTION("""COMPUTED_VALUE"""),6938.0)</f>
        <v>6938</v>
      </c>
      <c r="D182" s="5"/>
      <c r="E182" s="5">
        <f>IFERROR(__xludf.DUMMYFUNCTION("""COMPUTED_VALUE"""),100180.0)</f>
        <v>100180</v>
      </c>
      <c r="F182" s="5">
        <f>IFERROR(__xludf.DUMMYFUNCTION("""COMPUTED_VALUE"""),1.0)</f>
        <v>1</v>
      </c>
      <c r="G182" s="5"/>
      <c r="H182" s="5" t="b">
        <f>IFERROR(__xludf.DUMMYFUNCTION("""COMPUTED_VALUE"""),FALSE)</f>
        <v>0</v>
      </c>
      <c r="I182" s="5"/>
      <c r="J182" s="5"/>
      <c r="K182" s="5"/>
      <c r="L182" s="5"/>
      <c r="M182" s="5"/>
      <c r="N182" s="5">
        <f>IFERROR(__xludf.DUMMYFUNCTION("""COMPUTED_VALUE"""),27.0)</f>
        <v>27</v>
      </c>
      <c r="O182" s="5"/>
      <c r="P182" s="5"/>
      <c r="Q182" s="5" t="str">
        <f>IFERROR(__xludf.DUMMYFUNCTION("""COMPUTED_VALUE"""),"no")</f>
        <v>no</v>
      </c>
      <c r="R182" s="5" t="str">
        <f>IFERROR(__xludf.DUMMYFUNCTION("""COMPUTED_VALUE"""),"HiFi")</f>
        <v>HiFi</v>
      </c>
      <c r="S182" s="5" t="str">
        <f>IFERROR(__xludf.DUMMYFUNCTION("""COMPUTED_VALUE"""),"hifiasm_v0.18")</f>
        <v>hifiasm_v0.18</v>
      </c>
      <c r="T182" s="6" t="str">
        <f>IFERROR(__xludf.DUMMYFUNCTION("""COMPUTED_VALUE"""),"Pool")</f>
        <v>Pool</v>
      </c>
      <c r="U182" s="6">
        <f>IFERROR(__xludf.DUMMYFUNCTION("""COMPUTED_VALUE"""),2023.0)</f>
        <v>2023</v>
      </c>
      <c r="V182" s="6" t="str">
        <f>IFERROR(__xludf.DUMMYFUNCTION("""COMPUTED_VALUE"""),"yes")</f>
        <v>yes</v>
      </c>
      <c r="W182" s="6" t="str">
        <f>IFERROR(__xludf.DUMMYFUNCTION("""COMPUTED_VALUE"""),"Kang")</f>
        <v>Kang</v>
      </c>
      <c r="X182" s="5">
        <f>IFERROR(__xludf.DUMMYFUNCTION("""COMPUTED_VALUE"""),2023.0)</f>
        <v>2023</v>
      </c>
      <c r="Y182" s="5" t="str">
        <f>IFERROR(__xludf.DUMMYFUNCTION("""COMPUTED_VALUE"""),"NatCommun")</f>
        <v>NatCommun</v>
      </c>
      <c r="Z182" s="7" t="str">
        <f>IFERROR(__xludf.DUMMYFUNCTION("""COMPUTED_VALUE"""),"10.1038/s41467-023-42029-4")</f>
        <v>10.1038/s41467-023-42029-4</v>
      </c>
      <c r="AA182" s="7" t="str">
        <f>IFERROR(__xludf.DUMMYFUNCTION("""COMPUTED_VALUE"""),"https://www.nature.com/articles/s41467-023-42029-4")</f>
        <v>https://www.nature.com/articles/s41467-023-42029-4</v>
      </c>
      <c r="AB182" s="5"/>
    </row>
    <row r="183">
      <c r="A183" s="5">
        <f>IFERROR(__xludf.DUMMYFUNCTION("""COMPUTED_VALUE"""),100181.0)</f>
        <v>100181</v>
      </c>
      <c r="B183" s="5" t="str">
        <f>IFERROR(__xludf.DUMMYFUNCTION("""COMPUTED_VALUE"""),"Nz-1")</f>
        <v>Nz-1</v>
      </c>
      <c r="C183" s="5">
        <f>IFERROR(__xludf.DUMMYFUNCTION("""COMPUTED_VALUE"""),7263.0)</f>
        <v>7263</v>
      </c>
      <c r="D183" s="5"/>
      <c r="E183" s="5">
        <f>IFERROR(__xludf.DUMMYFUNCTION("""COMPUTED_VALUE"""),100181.0)</f>
        <v>100181</v>
      </c>
      <c r="F183" s="5">
        <f>IFERROR(__xludf.DUMMYFUNCTION("""COMPUTED_VALUE"""),1.0)</f>
        <v>1</v>
      </c>
      <c r="G183" s="5"/>
      <c r="H183" s="5" t="b">
        <f>IFERROR(__xludf.DUMMYFUNCTION("""COMPUTED_VALUE"""),FALSE)</f>
        <v>0</v>
      </c>
      <c r="I183" s="5"/>
      <c r="J183" s="5"/>
      <c r="K183" s="5"/>
      <c r="L183" s="5"/>
      <c r="M183" s="5"/>
      <c r="N183" s="5">
        <f>IFERROR(__xludf.DUMMYFUNCTION("""COMPUTED_VALUE"""),17.0)</f>
        <v>17</v>
      </c>
      <c r="O183" s="5"/>
      <c r="P183" s="5"/>
      <c r="Q183" s="5" t="str">
        <f>IFERROR(__xludf.DUMMYFUNCTION("""COMPUTED_VALUE"""),"no")</f>
        <v>no</v>
      </c>
      <c r="R183" s="5" t="str">
        <f>IFERROR(__xludf.DUMMYFUNCTION("""COMPUTED_VALUE"""),"HiFi")</f>
        <v>HiFi</v>
      </c>
      <c r="S183" s="5" t="str">
        <f>IFERROR(__xludf.DUMMYFUNCTION("""COMPUTED_VALUE"""),"hifiasm_v0.18")</f>
        <v>hifiasm_v0.18</v>
      </c>
      <c r="T183" s="6" t="str">
        <f>IFERROR(__xludf.DUMMYFUNCTION("""COMPUTED_VALUE"""),"Pool")</f>
        <v>Pool</v>
      </c>
      <c r="U183" s="6">
        <f>IFERROR(__xludf.DUMMYFUNCTION("""COMPUTED_VALUE"""),2023.0)</f>
        <v>2023</v>
      </c>
      <c r="V183" s="6" t="str">
        <f>IFERROR(__xludf.DUMMYFUNCTION("""COMPUTED_VALUE"""),"yes")</f>
        <v>yes</v>
      </c>
      <c r="W183" s="6" t="str">
        <f>IFERROR(__xludf.DUMMYFUNCTION("""COMPUTED_VALUE"""),"Kang")</f>
        <v>Kang</v>
      </c>
      <c r="X183" s="5">
        <f>IFERROR(__xludf.DUMMYFUNCTION("""COMPUTED_VALUE"""),2023.0)</f>
        <v>2023</v>
      </c>
      <c r="Y183" s="5" t="str">
        <f>IFERROR(__xludf.DUMMYFUNCTION("""COMPUTED_VALUE"""),"NatCommun")</f>
        <v>NatCommun</v>
      </c>
      <c r="Z183" s="7" t="str">
        <f>IFERROR(__xludf.DUMMYFUNCTION("""COMPUTED_VALUE"""),"10.1038/s41467-023-42029-4")</f>
        <v>10.1038/s41467-023-42029-4</v>
      </c>
      <c r="AA183" s="7" t="str">
        <f>IFERROR(__xludf.DUMMYFUNCTION("""COMPUTED_VALUE"""),"https://www.nature.com/articles/s41467-023-42029-4")</f>
        <v>https://www.nature.com/articles/s41467-023-42029-4</v>
      </c>
      <c r="AB183" s="5"/>
    </row>
    <row r="184">
      <c r="A184" s="5">
        <f>IFERROR(__xludf.DUMMYFUNCTION("""COMPUTED_VALUE"""),100182.0)</f>
        <v>100182</v>
      </c>
      <c r="B184" s="5" t="str">
        <f>IFERROR(__xludf.DUMMYFUNCTION("""COMPUTED_VALUE"""),"Per-1")</f>
        <v>Per-1</v>
      </c>
      <c r="C184" s="5">
        <f>IFERROR(__xludf.DUMMYFUNCTION("""COMPUTED_VALUE"""),8354.0)</f>
        <v>8354</v>
      </c>
      <c r="D184" s="5"/>
      <c r="E184" s="5">
        <f>IFERROR(__xludf.DUMMYFUNCTION("""COMPUTED_VALUE"""),100182.0)</f>
        <v>100182</v>
      </c>
      <c r="F184" s="5">
        <f>IFERROR(__xludf.DUMMYFUNCTION("""COMPUTED_VALUE"""),1.0)</f>
        <v>1</v>
      </c>
      <c r="G184" s="5"/>
      <c r="H184" s="5" t="b">
        <f>IFERROR(__xludf.DUMMYFUNCTION("""COMPUTED_VALUE"""),FALSE)</f>
        <v>0</v>
      </c>
      <c r="I184" s="5"/>
      <c r="J184" s="5"/>
      <c r="K184" s="5"/>
      <c r="L184" s="5"/>
      <c r="M184" s="5"/>
      <c r="N184" s="5">
        <f>IFERROR(__xludf.DUMMYFUNCTION("""COMPUTED_VALUE"""),26.0)</f>
        <v>26</v>
      </c>
      <c r="O184" s="5"/>
      <c r="P184" s="5"/>
      <c r="Q184" s="5" t="str">
        <f>IFERROR(__xludf.DUMMYFUNCTION("""COMPUTED_VALUE"""),"no")</f>
        <v>no</v>
      </c>
      <c r="R184" s="5" t="str">
        <f>IFERROR(__xludf.DUMMYFUNCTION("""COMPUTED_VALUE"""),"HiFi")</f>
        <v>HiFi</v>
      </c>
      <c r="S184" s="5" t="str">
        <f>IFERROR(__xludf.DUMMYFUNCTION("""COMPUTED_VALUE"""),"hifiasm_v0.18")</f>
        <v>hifiasm_v0.18</v>
      </c>
      <c r="T184" s="6" t="str">
        <f>IFERROR(__xludf.DUMMYFUNCTION("""COMPUTED_VALUE"""),"Pool")</f>
        <v>Pool</v>
      </c>
      <c r="U184" s="6">
        <f>IFERROR(__xludf.DUMMYFUNCTION("""COMPUTED_VALUE"""),2023.0)</f>
        <v>2023</v>
      </c>
      <c r="V184" s="6" t="str">
        <f>IFERROR(__xludf.DUMMYFUNCTION("""COMPUTED_VALUE"""),"yes")</f>
        <v>yes</v>
      </c>
      <c r="W184" s="6" t="str">
        <f>IFERROR(__xludf.DUMMYFUNCTION("""COMPUTED_VALUE"""),"Kang")</f>
        <v>Kang</v>
      </c>
      <c r="X184" s="5">
        <f>IFERROR(__xludf.DUMMYFUNCTION("""COMPUTED_VALUE"""),2023.0)</f>
        <v>2023</v>
      </c>
      <c r="Y184" s="5" t="str">
        <f>IFERROR(__xludf.DUMMYFUNCTION("""COMPUTED_VALUE"""),"NatCommun")</f>
        <v>NatCommun</v>
      </c>
      <c r="Z184" s="7" t="str">
        <f>IFERROR(__xludf.DUMMYFUNCTION("""COMPUTED_VALUE"""),"10.1038/s41467-023-42029-4")</f>
        <v>10.1038/s41467-023-42029-4</v>
      </c>
      <c r="AA184" s="7" t="str">
        <f>IFERROR(__xludf.DUMMYFUNCTION("""COMPUTED_VALUE"""),"https://www.nature.com/articles/s41467-023-42029-4")</f>
        <v>https://www.nature.com/articles/s41467-023-42029-4</v>
      </c>
      <c r="AB184" s="5"/>
    </row>
    <row r="185">
      <c r="A185" s="5">
        <f>IFERROR(__xludf.DUMMYFUNCTION("""COMPUTED_VALUE"""),100183.0)</f>
        <v>100183</v>
      </c>
      <c r="B185" s="5" t="str">
        <f>IFERROR(__xludf.DUMMYFUNCTION("""COMPUTED_VALUE"""),"Pra-6")</f>
        <v>Pra-6</v>
      </c>
      <c r="C185" s="5">
        <f>IFERROR(__xludf.DUMMYFUNCTION("""COMPUTED_VALUE"""),9948.0)</f>
        <v>9948</v>
      </c>
      <c r="D185" s="5"/>
      <c r="E185" s="5">
        <f>IFERROR(__xludf.DUMMYFUNCTION("""COMPUTED_VALUE"""),100183.0)</f>
        <v>100183</v>
      </c>
      <c r="F185" s="5">
        <f>IFERROR(__xludf.DUMMYFUNCTION("""COMPUTED_VALUE"""),1.0)</f>
        <v>1</v>
      </c>
      <c r="G185" s="5"/>
      <c r="H185" s="5" t="b">
        <f>IFERROR(__xludf.DUMMYFUNCTION("""COMPUTED_VALUE"""),FALSE)</f>
        <v>0</v>
      </c>
      <c r="I185" s="5"/>
      <c r="J185" s="5"/>
      <c r="K185" s="5"/>
      <c r="L185" s="5"/>
      <c r="M185" s="5"/>
      <c r="N185" s="5">
        <f>IFERROR(__xludf.DUMMYFUNCTION("""COMPUTED_VALUE"""),38.0)</f>
        <v>38</v>
      </c>
      <c r="O185" s="5"/>
      <c r="P185" s="5"/>
      <c r="Q185" s="5" t="str">
        <f>IFERROR(__xludf.DUMMYFUNCTION("""COMPUTED_VALUE"""),"no")</f>
        <v>no</v>
      </c>
      <c r="R185" s="5" t="str">
        <f>IFERROR(__xludf.DUMMYFUNCTION("""COMPUTED_VALUE"""),"HiFi")</f>
        <v>HiFi</v>
      </c>
      <c r="S185" s="5" t="str">
        <f>IFERROR(__xludf.DUMMYFUNCTION("""COMPUTED_VALUE"""),"hifiasm_v0.18")</f>
        <v>hifiasm_v0.18</v>
      </c>
      <c r="T185" s="6" t="str">
        <f>IFERROR(__xludf.DUMMYFUNCTION("""COMPUTED_VALUE"""),"Pool")</f>
        <v>Pool</v>
      </c>
      <c r="U185" s="6">
        <f>IFERROR(__xludf.DUMMYFUNCTION("""COMPUTED_VALUE"""),2023.0)</f>
        <v>2023</v>
      </c>
      <c r="V185" s="6" t="str">
        <f>IFERROR(__xludf.DUMMYFUNCTION("""COMPUTED_VALUE"""),"yes")</f>
        <v>yes</v>
      </c>
      <c r="W185" s="6" t="str">
        <f>IFERROR(__xludf.DUMMYFUNCTION("""COMPUTED_VALUE"""),"Kang")</f>
        <v>Kang</v>
      </c>
      <c r="X185" s="5">
        <f>IFERROR(__xludf.DUMMYFUNCTION("""COMPUTED_VALUE"""),2023.0)</f>
        <v>2023</v>
      </c>
      <c r="Y185" s="5" t="str">
        <f>IFERROR(__xludf.DUMMYFUNCTION("""COMPUTED_VALUE"""),"NatCommun")</f>
        <v>NatCommun</v>
      </c>
      <c r="Z185" s="7" t="str">
        <f>IFERROR(__xludf.DUMMYFUNCTION("""COMPUTED_VALUE"""),"10.1038/s41467-023-42029-4")</f>
        <v>10.1038/s41467-023-42029-4</v>
      </c>
      <c r="AA185" s="7" t="str">
        <f>IFERROR(__xludf.DUMMYFUNCTION("""COMPUTED_VALUE"""),"https://www.nature.com/articles/s41467-023-42029-4")</f>
        <v>https://www.nature.com/articles/s41467-023-42029-4</v>
      </c>
      <c r="AB185" s="5"/>
    </row>
    <row r="186">
      <c r="A186" s="5">
        <f>IFERROR(__xludf.DUMMYFUNCTION("""COMPUTED_VALUE"""),100184.0)</f>
        <v>100184</v>
      </c>
      <c r="B186" s="5" t="str">
        <f>IFERROR(__xludf.DUMMYFUNCTION("""COMPUTED_VALUE"""),"Pu2-23")</f>
        <v>Pu2-23</v>
      </c>
      <c r="C186" s="5">
        <f>IFERROR(__xludf.DUMMYFUNCTION("""COMPUTED_VALUE"""),6951.0)</f>
        <v>6951</v>
      </c>
      <c r="D186" s="5"/>
      <c r="E186" s="5">
        <f>IFERROR(__xludf.DUMMYFUNCTION("""COMPUTED_VALUE"""),100184.0)</f>
        <v>100184</v>
      </c>
      <c r="F186" s="5">
        <f>IFERROR(__xludf.DUMMYFUNCTION("""COMPUTED_VALUE"""),1.0)</f>
        <v>1</v>
      </c>
      <c r="G186" s="5"/>
      <c r="H186" s="5" t="b">
        <f>IFERROR(__xludf.DUMMYFUNCTION("""COMPUTED_VALUE"""),FALSE)</f>
        <v>0</v>
      </c>
      <c r="I186" s="5"/>
      <c r="J186" s="5"/>
      <c r="K186" s="5"/>
      <c r="L186" s="5"/>
      <c r="M186" s="5"/>
      <c r="N186" s="5">
        <f>IFERROR(__xludf.DUMMYFUNCTION("""COMPUTED_VALUE"""),22.0)</f>
        <v>22</v>
      </c>
      <c r="O186" s="5"/>
      <c r="P186" s="5"/>
      <c r="Q186" s="5" t="str">
        <f>IFERROR(__xludf.DUMMYFUNCTION("""COMPUTED_VALUE"""),"no")</f>
        <v>no</v>
      </c>
      <c r="R186" s="5" t="str">
        <f>IFERROR(__xludf.DUMMYFUNCTION("""COMPUTED_VALUE"""),"HiFi")</f>
        <v>HiFi</v>
      </c>
      <c r="S186" s="5" t="str">
        <f>IFERROR(__xludf.DUMMYFUNCTION("""COMPUTED_VALUE"""),"hifiasm_v0.18")</f>
        <v>hifiasm_v0.18</v>
      </c>
      <c r="T186" s="6" t="str">
        <f>IFERROR(__xludf.DUMMYFUNCTION("""COMPUTED_VALUE"""),"Pool")</f>
        <v>Pool</v>
      </c>
      <c r="U186" s="6">
        <f>IFERROR(__xludf.DUMMYFUNCTION("""COMPUTED_VALUE"""),2023.0)</f>
        <v>2023</v>
      </c>
      <c r="V186" s="6" t="str">
        <f>IFERROR(__xludf.DUMMYFUNCTION("""COMPUTED_VALUE"""),"yes")</f>
        <v>yes</v>
      </c>
      <c r="W186" s="6" t="str">
        <f>IFERROR(__xludf.DUMMYFUNCTION("""COMPUTED_VALUE"""),"Kang")</f>
        <v>Kang</v>
      </c>
      <c r="X186" s="5">
        <f>IFERROR(__xludf.DUMMYFUNCTION("""COMPUTED_VALUE"""),2023.0)</f>
        <v>2023</v>
      </c>
      <c r="Y186" s="5" t="str">
        <f>IFERROR(__xludf.DUMMYFUNCTION("""COMPUTED_VALUE"""),"NatCommun")</f>
        <v>NatCommun</v>
      </c>
      <c r="Z186" s="7" t="str">
        <f>IFERROR(__xludf.DUMMYFUNCTION("""COMPUTED_VALUE"""),"10.1038/s41467-023-42029-4")</f>
        <v>10.1038/s41467-023-42029-4</v>
      </c>
      <c r="AA186" s="7" t="str">
        <f>IFERROR(__xludf.DUMMYFUNCTION("""COMPUTED_VALUE"""),"https://www.nature.com/articles/s41467-023-42029-4")</f>
        <v>https://www.nature.com/articles/s41467-023-42029-4</v>
      </c>
      <c r="AB186" s="5"/>
    </row>
    <row r="187">
      <c r="A187" s="5">
        <f>IFERROR(__xludf.DUMMYFUNCTION("""COMPUTED_VALUE"""),100185.0)</f>
        <v>100185</v>
      </c>
      <c r="B187" s="5" t="str">
        <f>IFERROR(__xludf.DUMMYFUNCTION("""COMPUTED_VALUE"""),"Shahdara")</f>
        <v>Shahdara</v>
      </c>
      <c r="C187" s="5">
        <f>IFERROR(__xludf.DUMMYFUNCTION("""COMPUTED_VALUE"""),6962.0)</f>
        <v>6962</v>
      </c>
      <c r="D187" s="5"/>
      <c r="E187" s="5">
        <f>IFERROR(__xludf.DUMMYFUNCTION("""COMPUTED_VALUE"""),100185.0)</f>
        <v>100185</v>
      </c>
      <c r="F187" s="5">
        <f>IFERROR(__xludf.DUMMYFUNCTION("""COMPUTED_VALUE"""),1.0)</f>
        <v>1</v>
      </c>
      <c r="G187" s="5"/>
      <c r="H187" s="5" t="b">
        <f>IFERROR(__xludf.DUMMYFUNCTION("""COMPUTED_VALUE"""),FALSE)</f>
        <v>0</v>
      </c>
      <c r="I187" s="5"/>
      <c r="J187" s="5"/>
      <c r="K187" s="5"/>
      <c r="L187" s="5"/>
      <c r="M187" s="5"/>
      <c r="N187" s="5">
        <f>IFERROR(__xludf.DUMMYFUNCTION("""COMPUTED_VALUE"""),49.0)</f>
        <v>49</v>
      </c>
      <c r="O187" s="5"/>
      <c r="P187" s="5"/>
      <c r="Q187" s="5" t="str">
        <f>IFERROR(__xludf.DUMMYFUNCTION("""COMPUTED_VALUE"""),"no")</f>
        <v>no</v>
      </c>
      <c r="R187" s="5" t="str">
        <f>IFERROR(__xludf.DUMMYFUNCTION("""COMPUTED_VALUE"""),"HiFi")</f>
        <v>HiFi</v>
      </c>
      <c r="S187" s="5" t="str">
        <f>IFERROR(__xludf.DUMMYFUNCTION("""COMPUTED_VALUE"""),"hifiasm_v0.18")</f>
        <v>hifiasm_v0.18</v>
      </c>
      <c r="T187" s="6" t="str">
        <f>IFERROR(__xludf.DUMMYFUNCTION("""COMPUTED_VALUE"""),"Pool")</f>
        <v>Pool</v>
      </c>
      <c r="U187" s="6">
        <f>IFERROR(__xludf.DUMMYFUNCTION("""COMPUTED_VALUE"""),2023.0)</f>
        <v>2023</v>
      </c>
      <c r="V187" s="6" t="str">
        <f>IFERROR(__xludf.DUMMYFUNCTION("""COMPUTED_VALUE"""),"yes")</f>
        <v>yes</v>
      </c>
      <c r="W187" s="6" t="str">
        <f>IFERROR(__xludf.DUMMYFUNCTION("""COMPUTED_VALUE"""),"Kang")</f>
        <v>Kang</v>
      </c>
      <c r="X187" s="5">
        <f>IFERROR(__xludf.DUMMYFUNCTION("""COMPUTED_VALUE"""),2023.0)</f>
        <v>2023</v>
      </c>
      <c r="Y187" s="5" t="str">
        <f>IFERROR(__xludf.DUMMYFUNCTION("""COMPUTED_VALUE"""),"NatCommun")</f>
        <v>NatCommun</v>
      </c>
      <c r="Z187" s="7" t="str">
        <f>IFERROR(__xludf.DUMMYFUNCTION("""COMPUTED_VALUE"""),"10.1038/s41467-023-42029-4")</f>
        <v>10.1038/s41467-023-42029-4</v>
      </c>
      <c r="AA187" s="7" t="str">
        <f>IFERROR(__xludf.DUMMYFUNCTION("""COMPUTED_VALUE"""),"https://www.nature.com/articles/s41467-023-42029-4")</f>
        <v>https://www.nature.com/articles/s41467-023-42029-4</v>
      </c>
      <c r="AB187" s="5"/>
    </row>
    <row r="188">
      <c r="A188" s="5">
        <f>IFERROR(__xludf.DUMMYFUNCTION("""COMPUTED_VALUE"""),100186.0)</f>
        <v>100186</v>
      </c>
      <c r="B188" s="5" t="str">
        <f>IFERROR(__xludf.DUMMYFUNCTION("""COMPUTED_VALUE"""),"Sij-1")</f>
        <v>Sij-1</v>
      </c>
      <c r="C188" s="5">
        <f>IFERROR(__xludf.DUMMYFUNCTION("""COMPUTED_VALUE"""),10008.0)</f>
        <v>10008</v>
      </c>
      <c r="D188" s="5"/>
      <c r="E188" s="5">
        <f>IFERROR(__xludf.DUMMYFUNCTION("""COMPUTED_VALUE"""),100186.0)</f>
        <v>100186</v>
      </c>
      <c r="F188" s="5">
        <f>IFERROR(__xludf.DUMMYFUNCTION("""COMPUTED_VALUE"""),1.0)</f>
        <v>1</v>
      </c>
      <c r="G188" s="5"/>
      <c r="H188" s="5" t="b">
        <f>IFERROR(__xludf.DUMMYFUNCTION("""COMPUTED_VALUE"""),FALSE)</f>
        <v>0</v>
      </c>
      <c r="I188" s="5"/>
      <c r="J188" s="5"/>
      <c r="K188" s="5"/>
      <c r="L188" s="5"/>
      <c r="M188" s="5"/>
      <c r="N188" s="5">
        <f>IFERROR(__xludf.DUMMYFUNCTION("""COMPUTED_VALUE"""),33.0)</f>
        <v>33</v>
      </c>
      <c r="O188" s="5"/>
      <c r="P188" s="5"/>
      <c r="Q188" s="5" t="str">
        <f>IFERROR(__xludf.DUMMYFUNCTION("""COMPUTED_VALUE"""),"no")</f>
        <v>no</v>
      </c>
      <c r="R188" s="5" t="str">
        <f>IFERROR(__xludf.DUMMYFUNCTION("""COMPUTED_VALUE"""),"HiFi")</f>
        <v>HiFi</v>
      </c>
      <c r="S188" s="5" t="str">
        <f>IFERROR(__xludf.DUMMYFUNCTION("""COMPUTED_VALUE"""),"hifiasm_v0.18")</f>
        <v>hifiasm_v0.18</v>
      </c>
      <c r="T188" s="6" t="str">
        <f>IFERROR(__xludf.DUMMYFUNCTION("""COMPUTED_VALUE"""),"Pool")</f>
        <v>Pool</v>
      </c>
      <c r="U188" s="6">
        <f>IFERROR(__xludf.DUMMYFUNCTION("""COMPUTED_VALUE"""),2023.0)</f>
        <v>2023</v>
      </c>
      <c r="V188" s="6" t="str">
        <f>IFERROR(__xludf.DUMMYFUNCTION("""COMPUTED_VALUE"""),"yes")</f>
        <v>yes</v>
      </c>
      <c r="W188" s="6" t="str">
        <f>IFERROR(__xludf.DUMMYFUNCTION("""COMPUTED_VALUE"""),"Kang")</f>
        <v>Kang</v>
      </c>
      <c r="X188" s="5">
        <f>IFERROR(__xludf.DUMMYFUNCTION("""COMPUTED_VALUE"""),2023.0)</f>
        <v>2023</v>
      </c>
      <c r="Y188" s="5" t="str">
        <f>IFERROR(__xludf.DUMMYFUNCTION("""COMPUTED_VALUE"""),"NatCommun")</f>
        <v>NatCommun</v>
      </c>
      <c r="Z188" s="7" t="str">
        <f>IFERROR(__xludf.DUMMYFUNCTION("""COMPUTED_VALUE"""),"10.1038/s41467-023-42029-4")</f>
        <v>10.1038/s41467-023-42029-4</v>
      </c>
      <c r="AA188" s="7" t="str">
        <f>IFERROR(__xludf.DUMMYFUNCTION("""COMPUTED_VALUE"""),"https://www.nature.com/articles/s41467-023-42029-4")</f>
        <v>https://www.nature.com/articles/s41467-023-42029-4</v>
      </c>
      <c r="AB188" s="5"/>
    </row>
    <row r="189">
      <c r="A189" s="5">
        <f>IFERROR(__xludf.DUMMYFUNCTION("""COMPUTED_VALUE"""),100187.0)</f>
        <v>100187</v>
      </c>
      <c r="B189" s="5" t="str">
        <f>IFERROR(__xludf.DUMMYFUNCTION("""COMPUTED_VALUE"""),"Sij-2")</f>
        <v>Sij-2</v>
      </c>
      <c r="C189" s="5">
        <f>IFERROR(__xludf.DUMMYFUNCTION("""COMPUTED_VALUE"""),10009.0)</f>
        <v>10009</v>
      </c>
      <c r="D189" s="5"/>
      <c r="E189" s="5">
        <f>IFERROR(__xludf.DUMMYFUNCTION("""COMPUTED_VALUE"""),100187.0)</f>
        <v>100187</v>
      </c>
      <c r="F189" s="5">
        <f>IFERROR(__xludf.DUMMYFUNCTION("""COMPUTED_VALUE"""),1.0)</f>
        <v>1</v>
      </c>
      <c r="G189" s="5"/>
      <c r="H189" s="5" t="b">
        <f>IFERROR(__xludf.DUMMYFUNCTION("""COMPUTED_VALUE"""),FALSE)</f>
        <v>0</v>
      </c>
      <c r="I189" s="5"/>
      <c r="J189" s="5"/>
      <c r="K189" s="5"/>
      <c r="L189" s="5"/>
      <c r="M189" s="5"/>
      <c r="N189" s="5">
        <f>IFERROR(__xludf.DUMMYFUNCTION("""COMPUTED_VALUE"""),31.0)</f>
        <v>31</v>
      </c>
      <c r="O189" s="5"/>
      <c r="P189" s="5"/>
      <c r="Q189" s="5" t="str">
        <f>IFERROR(__xludf.DUMMYFUNCTION("""COMPUTED_VALUE"""),"no")</f>
        <v>no</v>
      </c>
      <c r="R189" s="5" t="str">
        <f>IFERROR(__xludf.DUMMYFUNCTION("""COMPUTED_VALUE"""),"HiFi")</f>
        <v>HiFi</v>
      </c>
      <c r="S189" s="5" t="str">
        <f>IFERROR(__xludf.DUMMYFUNCTION("""COMPUTED_VALUE"""),"hifiasm_v0.18")</f>
        <v>hifiasm_v0.18</v>
      </c>
      <c r="T189" s="6" t="str">
        <f>IFERROR(__xludf.DUMMYFUNCTION("""COMPUTED_VALUE"""),"Pool")</f>
        <v>Pool</v>
      </c>
      <c r="U189" s="6">
        <f>IFERROR(__xludf.DUMMYFUNCTION("""COMPUTED_VALUE"""),2023.0)</f>
        <v>2023</v>
      </c>
      <c r="V189" s="6" t="str">
        <f>IFERROR(__xludf.DUMMYFUNCTION("""COMPUTED_VALUE"""),"yes")</f>
        <v>yes</v>
      </c>
      <c r="W189" s="6" t="str">
        <f>IFERROR(__xludf.DUMMYFUNCTION("""COMPUTED_VALUE"""),"Kang")</f>
        <v>Kang</v>
      </c>
      <c r="X189" s="5">
        <f>IFERROR(__xludf.DUMMYFUNCTION("""COMPUTED_VALUE"""),2023.0)</f>
        <v>2023</v>
      </c>
      <c r="Y189" s="5" t="str">
        <f>IFERROR(__xludf.DUMMYFUNCTION("""COMPUTED_VALUE"""),"NatCommun")</f>
        <v>NatCommun</v>
      </c>
      <c r="Z189" s="7" t="str">
        <f>IFERROR(__xludf.DUMMYFUNCTION("""COMPUTED_VALUE"""),"10.1038/s41467-023-42029-4")</f>
        <v>10.1038/s41467-023-42029-4</v>
      </c>
      <c r="AA189" s="7" t="str">
        <f>IFERROR(__xludf.DUMMYFUNCTION("""COMPUTED_VALUE"""),"https://www.nature.com/articles/s41467-023-42029-4")</f>
        <v>https://www.nature.com/articles/s41467-023-42029-4</v>
      </c>
      <c r="AB189" s="5"/>
    </row>
    <row r="190">
      <c r="A190" s="5">
        <f>IFERROR(__xludf.DUMMYFUNCTION("""COMPUTED_VALUE"""),100188.0)</f>
        <v>100188</v>
      </c>
      <c r="B190" s="5" t="str">
        <f>IFERROR(__xludf.DUMMYFUNCTION("""COMPUTED_VALUE"""),"Sorbo")</f>
        <v>Sorbo</v>
      </c>
      <c r="C190" s="5">
        <f>IFERROR(__xludf.DUMMYFUNCTION("""COMPUTED_VALUE"""),6963.0)</f>
        <v>6963</v>
      </c>
      <c r="D190" s="5"/>
      <c r="E190" s="5">
        <f>IFERROR(__xludf.DUMMYFUNCTION("""COMPUTED_VALUE"""),100188.0)</f>
        <v>100188</v>
      </c>
      <c r="F190" s="5">
        <f>IFERROR(__xludf.DUMMYFUNCTION("""COMPUTED_VALUE"""),1.0)</f>
        <v>1</v>
      </c>
      <c r="G190" s="5"/>
      <c r="H190" s="5" t="b">
        <f>IFERROR(__xludf.DUMMYFUNCTION("""COMPUTED_VALUE"""),FALSE)</f>
        <v>0</v>
      </c>
      <c r="I190" s="5"/>
      <c r="J190" s="5"/>
      <c r="K190" s="5"/>
      <c r="L190" s="5"/>
      <c r="M190" s="5"/>
      <c r="N190" s="5">
        <f>IFERROR(__xludf.DUMMYFUNCTION("""COMPUTED_VALUE"""),48.0)</f>
        <v>48</v>
      </c>
      <c r="O190" s="5"/>
      <c r="P190" s="5"/>
      <c r="Q190" s="5" t="str">
        <f>IFERROR(__xludf.DUMMYFUNCTION("""COMPUTED_VALUE"""),"no")</f>
        <v>no</v>
      </c>
      <c r="R190" s="5" t="str">
        <f>IFERROR(__xludf.DUMMYFUNCTION("""COMPUTED_VALUE"""),"HiFi")</f>
        <v>HiFi</v>
      </c>
      <c r="S190" s="5" t="str">
        <f>IFERROR(__xludf.DUMMYFUNCTION("""COMPUTED_VALUE"""),"hifiasm_v0.18")</f>
        <v>hifiasm_v0.18</v>
      </c>
      <c r="T190" s="6" t="str">
        <f>IFERROR(__xludf.DUMMYFUNCTION("""COMPUTED_VALUE"""),"Pool")</f>
        <v>Pool</v>
      </c>
      <c r="U190" s="6">
        <f>IFERROR(__xludf.DUMMYFUNCTION("""COMPUTED_VALUE"""),2023.0)</f>
        <v>2023</v>
      </c>
      <c r="V190" s="6" t="str">
        <f>IFERROR(__xludf.DUMMYFUNCTION("""COMPUTED_VALUE"""),"yes")</f>
        <v>yes</v>
      </c>
      <c r="W190" s="6" t="str">
        <f>IFERROR(__xludf.DUMMYFUNCTION("""COMPUTED_VALUE"""),"Kang")</f>
        <v>Kang</v>
      </c>
      <c r="X190" s="5">
        <f>IFERROR(__xludf.DUMMYFUNCTION("""COMPUTED_VALUE"""),2023.0)</f>
        <v>2023</v>
      </c>
      <c r="Y190" s="5" t="str">
        <f>IFERROR(__xludf.DUMMYFUNCTION("""COMPUTED_VALUE"""),"NatCommun")</f>
        <v>NatCommun</v>
      </c>
      <c r="Z190" s="7" t="str">
        <f>IFERROR(__xludf.DUMMYFUNCTION("""COMPUTED_VALUE"""),"10.1038/s41467-023-42029-4")</f>
        <v>10.1038/s41467-023-42029-4</v>
      </c>
      <c r="AA190" s="7" t="str">
        <f>IFERROR(__xludf.DUMMYFUNCTION("""COMPUTED_VALUE"""),"https://www.nature.com/articles/s41467-023-42029-4")</f>
        <v>https://www.nature.com/articles/s41467-023-42029-4</v>
      </c>
      <c r="AB190" s="5"/>
    </row>
    <row r="191">
      <c r="A191" s="5">
        <f>IFERROR(__xludf.DUMMYFUNCTION("""COMPUTED_VALUE"""),100189.0)</f>
        <v>100189</v>
      </c>
      <c r="B191" s="5" t="str">
        <f>IFERROR(__xludf.DUMMYFUNCTION("""COMPUTED_VALUE"""),"St-0")</f>
        <v>St-0</v>
      </c>
      <c r="C191" s="5">
        <f>IFERROR(__xludf.DUMMYFUNCTION("""COMPUTED_VALUE"""),8387.0)</f>
        <v>8387</v>
      </c>
      <c r="D191" s="5"/>
      <c r="E191" s="5">
        <f>IFERROR(__xludf.DUMMYFUNCTION("""COMPUTED_VALUE"""),100189.0)</f>
        <v>100189</v>
      </c>
      <c r="F191" s="5">
        <f>IFERROR(__xludf.DUMMYFUNCTION("""COMPUTED_VALUE"""),1.0)</f>
        <v>1</v>
      </c>
      <c r="G191" s="5"/>
      <c r="H191" s="5" t="b">
        <f>IFERROR(__xludf.DUMMYFUNCTION("""COMPUTED_VALUE"""),FALSE)</f>
        <v>0</v>
      </c>
      <c r="I191" s="5"/>
      <c r="J191" s="5"/>
      <c r="K191" s="5"/>
      <c r="L191" s="5"/>
      <c r="M191" s="5"/>
      <c r="N191" s="5">
        <f>IFERROR(__xludf.DUMMYFUNCTION("""COMPUTED_VALUE"""),50.0)</f>
        <v>50</v>
      </c>
      <c r="O191" s="5"/>
      <c r="P191" s="5"/>
      <c r="Q191" s="5" t="str">
        <f>IFERROR(__xludf.DUMMYFUNCTION("""COMPUTED_VALUE"""),"no")</f>
        <v>no</v>
      </c>
      <c r="R191" s="5" t="str">
        <f>IFERROR(__xludf.DUMMYFUNCTION("""COMPUTED_VALUE"""),"HiFi")</f>
        <v>HiFi</v>
      </c>
      <c r="S191" s="5" t="str">
        <f>IFERROR(__xludf.DUMMYFUNCTION("""COMPUTED_VALUE"""),"hifiasm_v0.18")</f>
        <v>hifiasm_v0.18</v>
      </c>
      <c r="T191" s="6" t="str">
        <f>IFERROR(__xludf.DUMMYFUNCTION("""COMPUTED_VALUE"""),"Pool")</f>
        <v>Pool</v>
      </c>
      <c r="U191" s="6">
        <f>IFERROR(__xludf.DUMMYFUNCTION("""COMPUTED_VALUE"""),2023.0)</f>
        <v>2023</v>
      </c>
      <c r="V191" s="6" t="str">
        <f>IFERROR(__xludf.DUMMYFUNCTION("""COMPUTED_VALUE"""),"yes")</f>
        <v>yes</v>
      </c>
      <c r="W191" s="6" t="str">
        <f>IFERROR(__xludf.DUMMYFUNCTION("""COMPUTED_VALUE"""),"Kang")</f>
        <v>Kang</v>
      </c>
      <c r="X191" s="5">
        <f>IFERROR(__xludf.DUMMYFUNCTION("""COMPUTED_VALUE"""),2023.0)</f>
        <v>2023</v>
      </c>
      <c r="Y191" s="5" t="str">
        <f>IFERROR(__xludf.DUMMYFUNCTION("""COMPUTED_VALUE"""),"NatCommun")</f>
        <v>NatCommun</v>
      </c>
      <c r="Z191" s="7" t="str">
        <f>IFERROR(__xludf.DUMMYFUNCTION("""COMPUTED_VALUE"""),"10.1038/s41467-023-42029-4")</f>
        <v>10.1038/s41467-023-42029-4</v>
      </c>
      <c r="AA191" s="7" t="str">
        <f>IFERROR(__xludf.DUMMYFUNCTION("""COMPUTED_VALUE"""),"https://www.nature.com/articles/s41467-023-42029-4")</f>
        <v>https://www.nature.com/articles/s41467-023-42029-4</v>
      </c>
      <c r="AB191" s="5"/>
    </row>
    <row r="192">
      <c r="A192" s="5">
        <f>IFERROR(__xludf.DUMMYFUNCTION("""COMPUTED_VALUE"""),100190.0)</f>
        <v>100190</v>
      </c>
      <c r="B192" s="5" t="str">
        <f>IFERROR(__xludf.DUMMYFUNCTION("""COMPUTED_VALUE"""),"Tibet-0")</f>
        <v>Tibet-0</v>
      </c>
      <c r="C192" s="5">
        <f>IFERROR(__xludf.DUMMYFUNCTION("""COMPUTED_VALUE"""),22102.0)</f>
        <v>22102</v>
      </c>
      <c r="D192" s="5"/>
      <c r="E192" s="5">
        <f>IFERROR(__xludf.DUMMYFUNCTION("""COMPUTED_VALUE"""),100190.0)</f>
        <v>100190</v>
      </c>
      <c r="F192" s="5">
        <f>IFERROR(__xludf.DUMMYFUNCTION("""COMPUTED_VALUE"""),1.0)</f>
        <v>1</v>
      </c>
      <c r="G192" s="5"/>
      <c r="H192" s="5" t="b">
        <f>IFERROR(__xludf.DUMMYFUNCTION("""COMPUTED_VALUE"""),FALSE)</f>
        <v>0</v>
      </c>
      <c r="I192" s="5"/>
      <c r="J192" s="5" t="str">
        <f>IFERROR(__xludf.DUMMYFUNCTION("""COMPUTED_VALUE"""),"CS79062")</f>
        <v>CS79062</v>
      </c>
      <c r="K192" s="5">
        <f>IFERROR(__xludf.DUMMYFUNCTION("""COMPUTED_VALUE"""),29.68976)</f>
        <v>29.68976</v>
      </c>
      <c r="L192" s="5"/>
      <c r="M192" s="5"/>
      <c r="N192" s="5">
        <f>IFERROR(__xludf.DUMMYFUNCTION("""COMPUTED_VALUE"""),30.0)</f>
        <v>30</v>
      </c>
      <c r="O192" s="5"/>
      <c r="P192" s="5"/>
      <c r="Q192" s="5" t="str">
        <f>IFERROR(__xludf.DUMMYFUNCTION("""COMPUTED_VALUE"""),"no")</f>
        <v>no</v>
      </c>
      <c r="R192" s="5" t="str">
        <f>IFERROR(__xludf.DUMMYFUNCTION("""COMPUTED_VALUE"""),"HiFi")</f>
        <v>HiFi</v>
      </c>
      <c r="S192" s="5" t="str">
        <f>IFERROR(__xludf.DUMMYFUNCTION("""COMPUTED_VALUE"""),"hifiasm_v0.18")</f>
        <v>hifiasm_v0.18</v>
      </c>
      <c r="T192" s="6" t="str">
        <f>IFERROR(__xludf.DUMMYFUNCTION("""COMPUTED_VALUE"""),"Pool")</f>
        <v>Pool</v>
      </c>
      <c r="U192" s="6">
        <f>IFERROR(__xludf.DUMMYFUNCTION("""COMPUTED_VALUE"""),2023.0)</f>
        <v>2023</v>
      </c>
      <c r="V192" s="6" t="str">
        <f>IFERROR(__xludf.DUMMYFUNCTION("""COMPUTED_VALUE"""),"yes")</f>
        <v>yes</v>
      </c>
      <c r="W192" s="6" t="str">
        <f>IFERROR(__xludf.DUMMYFUNCTION("""COMPUTED_VALUE"""),"Kang")</f>
        <v>Kang</v>
      </c>
      <c r="X192" s="5">
        <f>IFERROR(__xludf.DUMMYFUNCTION("""COMPUTED_VALUE"""),2023.0)</f>
        <v>2023</v>
      </c>
      <c r="Y192" s="5" t="str">
        <f>IFERROR(__xludf.DUMMYFUNCTION("""COMPUTED_VALUE"""),"NatCommun")</f>
        <v>NatCommun</v>
      </c>
      <c r="Z192" s="7" t="str">
        <f>IFERROR(__xludf.DUMMYFUNCTION("""COMPUTED_VALUE"""),"10.1038/s41467-023-42029-4")</f>
        <v>10.1038/s41467-023-42029-4</v>
      </c>
      <c r="AA192" s="7" t="str">
        <f>IFERROR(__xludf.DUMMYFUNCTION("""COMPUTED_VALUE"""),"https://www.nature.com/articles/s41467-023-42029-4")</f>
        <v>https://www.nature.com/articles/s41467-023-42029-4</v>
      </c>
      <c r="AB192" s="5"/>
    </row>
    <row r="193">
      <c r="A193" s="5">
        <f>IFERROR(__xludf.DUMMYFUNCTION("""COMPUTED_VALUE"""),100191.0)</f>
        <v>100191</v>
      </c>
      <c r="B193" s="5" t="str">
        <f>IFERROR(__xludf.DUMMYFUNCTION("""COMPUTED_VALUE"""),"TueSB30-3")</f>
        <v>TueSB30-3</v>
      </c>
      <c r="C193" s="5">
        <f>IFERROR(__xludf.DUMMYFUNCTION("""COMPUTED_VALUE"""),9999.0)</f>
        <v>9999</v>
      </c>
      <c r="D193" s="5"/>
      <c r="E193" s="5">
        <f>IFERROR(__xludf.DUMMYFUNCTION("""COMPUTED_VALUE"""),100191.0)</f>
        <v>100191</v>
      </c>
      <c r="F193" s="5">
        <f>IFERROR(__xludf.DUMMYFUNCTION("""COMPUTED_VALUE"""),1.0)</f>
        <v>1</v>
      </c>
      <c r="G193" s="5"/>
      <c r="H193" s="5" t="b">
        <f>IFERROR(__xludf.DUMMYFUNCTION("""COMPUTED_VALUE"""),FALSE)</f>
        <v>0</v>
      </c>
      <c r="I193" s="5"/>
      <c r="J193" s="5"/>
      <c r="K193" s="5"/>
      <c r="L193" s="5"/>
      <c r="M193" s="5"/>
      <c r="N193" s="5">
        <f>IFERROR(__xludf.DUMMYFUNCTION("""COMPUTED_VALUE"""),18.0)</f>
        <v>18</v>
      </c>
      <c r="O193" s="5"/>
      <c r="P193" s="5"/>
      <c r="Q193" s="5" t="str">
        <f>IFERROR(__xludf.DUMMYFUNCTION("""COMPUTED_VALUE"""),"no")</f>
        <v>no</v>
      </c>
      <c r="R193" s="5" t="str">
        <f>IFERROR(__xludf.DUMMYFUNCTION("""COMPUTED_VALUE"""),"HiFi")</f>
        <v>HiFi</v>
      </c>
      <c r="S193" s="5" t="str">
        <f>IFERROR(__xludf.DUMMYFUNCTION("""COMPUTED_VALUE"""),"hifiasm_v0.18")</f>
        <v>hifiasm_v0.18</v>
      </c>
      <c r="T193" s="6" t="str">
        <f>IFERROR(__xludf.DUMMYFUNCTION("""COMPUTED_VALUE"""),"Pool")</f>
        <v>Pool</v>
      </c>
      <c r="U193" s="6">
        <f>IFERROR(__xludf.DUMMYFUNCTION("""COMPUTED_VALUE"""),2023.0)</f>
        <v>2023</v>
      </c>
      <c r="V193" s="6" t="str">
        <f>IFERROR(__xludf.DUMMYFUNCTION("""COMPUTED_VALUE"""),"yes")</f>
        <v>yes</v>
      </c>
      <c r="W193" s="6" t="str">
        <f>IFERROR(__xludf.DUMMYFUNCTION("""COMPUTED_VALUE"""),"Kang")</f>
        <v>Kang</v>
      </c>
      <c r="X193" s="5">
        <f>IFERROR(__xludf.DUMMYFUNCTION("""COMPUTED_VALUE"""),2023.0)</f>
        <v>2023</v>
      </c>
      <c r="Y193" s="5" t="str">
        <f>IFERROR(__xludf.DUMMYFUNCTION("""COMPUTED_VALUE"""),"NatCommun")</f>
        <v>NatCommun</v>
      </c>
      <c r="Z193" s="7" t="str">
        <f>IFERROR(__xludf.DUMMYFUNCTION("""COMPUTED_VALUE"""),"10.1038/s41467-023-42029-4")</f>
        <v>10.1038/s41467-023-42029-4</v>
      </c>
      <c r="AA193" s="7" t="str">
        <f>IFERROR(__xludf.DUMMYFUNCTION("""COMPUTED_VALUE"""),"https://www.nature.com/articles/s41467-023-42029-4")</f>
        <v>https://www.nature.com/articles/s41467-023-42029-4</v>
      </c>
      <c r="AB193" s="5"/>
    </row>
    <row r="194">
      <c r="A194" s="5">
        <f>IFERROR(__xludf.DUMMYFUNCTION("""COMPUTED_VALUE"""),100192.0)</f>
        <v>100192</v>
      </c>
      <c r="B194" s="5" t="str">
        <f>IFERROR(__xludf.DUMMYFUNCTION("""COMPUTED_VALUE"""),"Yilong-0")</f>
        <v>Yilong-0</v>
      </c>
      <c r="C194" s="5">
        <f>IFERROR(__xludf.DUMMYFUNCTION("""COMPUTED_VALUE"""),22103.0)</f>
        <v>22103</v>
      </c>
      <c r="D194" s="5"/>
      <c r="E194" s="5">
        <f>IFERROR(__xludf.DUMMYFUNCTION("""COMPUTED_VALUE"""),100192.0)</f>
        <v>100192</v>
      </c>
      <c r="F194" s="5">
        <f>IFERROR(__xludf.DUMMYFUNCTION("""COMPUTED_VALUE"""),1.0)</f>
        <v>1</v>
      </c>
      <c r="G194" s="5"/>
      <c r="H194" s="5" t="b">
        <f>IFERROR(__xludf.DUMMYFUNCTION("""COMPUTED_VALUE"""),FALSE)</f>
        <v>0</v>
      </c>
      <c r="I194" s="5"/>
      <c r="J194" s="5"/>
      <c r="K194" s="5"/>
      <c r="L194" s="5"/>
      <c r="M194" s="5"/>
      <c r="N194" s="5">
        <f>IFERROR(__xludf.DUMMYFUNCTION("""COMPUTED_VALUE"""),30.0)</f>
        <v>30</v>
      </c>
      <c r="O194" s="5"/>
      <c r="P194" s="5"/>
      <c r="Q194" s="5" t="str">
        <f>IFERROR(__xludf.DUMMYFUNCTION("""COMPUTED_VALUE"""),"no")</f>
        <v>no</v>
      </c>
      <c r="R194" s="5" t="str">
        <f>IFERROR(__xludf.DUMMYFUNCTION("""COMPUTED_VALUE"""),"HiFi")</f>
        <v>HiFi</v>
      </c>
      <c r="S194" s="5" t="str">
        <f>IFERROR(__xludf.DUMMYFUNCTION("""COMPUTED_VALUE"""),"hifiasm_v0.18")</f>
        <v>hifiasm_v0.18</v>
      </c>
      <c r="T194" s="6" t="str">
        <f>IFERROR(__xludf.DUMMYFUNCTION("""COMPUTED_VALUE"""),"Pool")</f>
        <v>Pool</v>
      </c>
      <c r="U194" s="6">
        <f>IFERROR(__xludf.DUMMYFUNCTION("""COMPUTED_VALUE"""),2023.0)</f>
        <v>2023</v>
      </c>
      <c r="V194" s="6" t="str">
        <f>IFERROR(__xludf.DUMMYFUNCTION("""COMPUTED_VALUE"""),"yes")</f>
        <v>yes</v>
      </c>
      <c r="W194" s="6" t="str">
        <f>IFERROR(__xludf.DUMMYFUNCTION("""COMPUTED_VALUE"""),"Kang")</f>
        <v>Kang</v>
      </c>
      <c r="X194" s="5">
        <f>IFERROR(__xludf.DUMMYFUNCTION("""COMPUTED_VALUE"""),2023.0)</f>
        <v>2023</v>
      </c>
      <c r="Y194" s="5" t="str">
        <f>IFERROR(__xludf.DUMMYFUNCTION("""COMPUTED_VALUE"""),"NatCommun")</f>
        <v>NatCommun</v>
      </c>
      <c r="Z194" s="7" t="str">
        <f>IFERROR(__xludf.DUMMYFUNCTION("""COMPUTED_VALUE"""),"10.1038/s41467-023-42029-4")</f>
        <v>10.1038/s41467-023-42029-4</v>
      </c>
      <c r="AA194" s="7" t="str">
        <f>IFERROR(__xludf.DUMMYFUNCTION("""COMPUTED_VALUE"""),"https://www.nature.com/articles/s41467-023-42029-4")</f>
        <v>https://www.nature.com/articles/s41467-023-42029-4</v>
      </c>
      <c r="AB194" s="5"/>
    </row>
    <row r="195">
      <c r="A195" s="5">
        <f>IFERROR(__xludf.DUMMYFUNCTION("""COMPUTED_VALUE"""),100193.0)</f>
        <v>100193</v>
      </c>
      <c r="B195" s="8" t="str">
        <f>IFERROR(__xludf.DUMMYFUNCTION("""COMPUTED_VALUE"""),"Db-1")</f>
        <v>Db-1</v>
      </c>
      <c r="C195" s="5">
        <f>IFERROR(__xludf.DUMMYFUNCTION("""COMPUTED_VALUE"""),7419.0)</f>
        <v>7419</v>
      </c>
      <c r="D195" s="5"/>
      <c r="E195" s="5">
        <f>IFERROR(__xludf.DUMMYFUNCTION("""COMPUTED_VALUE"""),100193.0)</f>
        <v>100193</v>
      </c>
      <c r="F195" s="5">
        <f>IFERROR(__xludf.DUMMYFUNCTION("""COMPUTED_VALUE"""),1.0)</f>
        <v>1</v>
      </c>
      <c r="G195" s="5"/>
      <c r="H195" s="5" t="b">
        <f>IFERROR(__xludf.DUMMYFUNCTION("""COMPUTED_VALUE"""),FALSE)</f>
        <v>0</v>
      </c>
      <c r="I195" s="5"/>
      <c r="J195" s="5"/>
      <c r="K195" s="5"/>
      <c r="L195" s="5"/>
      <c r="M195" s="5"/>
      <c r="N195" s="5">
        <f>IFERROR(__xludf.DUMMYFUNCTION("""COMPUTED_VALUE"""),10.0)</f>
        <v>10</v>
      </c>
      <c r="O195" s="5"/>
      <c r="P195" s="5"/>
      <c r="Q195" s="5" t="str">
        <f>IFERROR(__xludf.DUMMYFUNCTION("""COMPUTED_VALUE"""),"no")</f>
        <v>no</v>
      </c>
      <c r="R195" s="5" t="str">
        <f>IFERROR(__xludf.DUMMYFUNCTION("""COMPUTED_VALUE"""),"HiFi")</f>
        <v>HiFi</v>
      </c>
      <c r="S195" s="8" t="str">
        <f>IFERROR(__xludf.DUMMYFUNCTION("""COMPUTED_VALUE"""),"hifiasm_v0.16.1_Canu_v2.1.1")</f>
        <v>hifiasm_v0.16.1_Canu_v2.1.1</v>
      </c>
      <c r="T195" s="6" t="str">
        <f>IFERROR(__xludf.DUMMYFUNCTION("""COMPUTED_VALUE"""),"Pool")</f>
        <v>Pool</v>
      </c>
      <c r="U195" s="6">
        <f>IFERROR(__xludf.DUMMYFUNCTION("""COMPUTED_VALUE"""),2024.0)</f>
        <v>2024</v>
      </c>
      <c r="V195" s="6" t="str">
        <f>IFERROR(__xludf.DUMMYFUNCTION("""COMPUTED_VALUE"""),"yes")</f>
        <v>yes</v>
      </c>
      <c r="W195" s="9" t="str">
        <f>IFERROR(__xludf.DUMMYFUNCTION("""COMPUTED_VALUE"""),"Lian")</f>
        <v>Lian</v>
      </c>
      <c r="X195" s="8" t="str">
        <f>IFERROR(__xludf.DUMMYFUNCTION("""COMPUTED_VALUE"""),"2024")</f>
        <v>2024</v>
      </c>
      <c r="Y195" s="8" t="str">
        <f>IFERROR(__xludf.DUMMYFUNCTION("""COMPUTED_VALUE"""),"NatGenet")</f>
        <v>NatGenet</v>
      </c>
      <c r="Z195" s="10" t="str">
        <f>IFERROR(__xludf.DUMMYFUNCTION("""COMPUTED_VALUE"""),"10.1038/s41588-024-01715-9")</f>
        <v>10.1038/s41588-024-01715-9</v>
      </c>
      <c r="AA195" s="10" t="str">
        <f>IFERROR(__xludf.DUMMYFUNCTION("""COMPUTED_VALUE"""),"https://www.nature.com/articles/s41588-024-01715-9")</f>
        <v>https://www.nature.com/articles/s41588-024-01715-9</v>
      </c>
      <c r="AB195" s="5"/>
    </row>
    <row r="196">
      <c r="A196" s="5">
        <f>IFERROR(__xludf.DUMMYFUNCTION("""COMPUTED_VALUE"""),100194.0)</f>
        <v>100194</v>
      </c>
      <c r="B196" s="8" t="str">
        <f>IFERROR(__xludf.DUMMYFUNCTION("""COMPUTED_VALUE"""),"Est-0")</f>
        <v>Est-0</v>
      </c>
      <c r="C196" s="5">
        <f>IFERROR(__xludf.DUMMYFUNCTION("""COMPUTED_VALUE"""),7128.0)</f>
        <v>7128</v>
      </c>
      <c r="D196" s="5"/>
      <c r="E196" s="5"/>
      <c r="F196" s="5">
        <f>IFERROR(__xludf.DUMMYFUNCTION("""COMPUTED_VALUE"""),1.0)</f>
        <v>1</v>
      </c>
      <c r="G196" s="5"/>
      <c r="H196" s="5"/>
      <c r="I196" s="5"/>
      <c r="J196" s="5"/>
      <c r="K196" s="5"/>
      <c r="L196" s="5"/>
      <c r="M196" s="5"/>
      <c r="N196" s="5">
        <f>IFERROR(__xludf.DUMMYFUNCTION("""COMPUTED_VALUE"""),10.0)</f>
        <v>10</v>
      </c>
      <c r="O196" s="5"/>
      <c r="P196" s="5"/>
      <c r="Q196" s="5" t="str">
        <f>IFERROR(__xludf.DUMMYFUNCTION("""COMPUTED_VALUE"""),"yes")</f>
        <v>yes</v>
      </c>
      <c r="R196" s="5" t="str">
        <f>IFERROR(__xludf.DUMMYFUNCTION("""COMPUTED_VALUE"""),"HiFi")</f>
        <v>HiFi</v>
      </c>
      <c r="S196" s="8" t="str">
        <f>IFERROR(__xludf.DUMMYFUNCTION("""COMPUTED_VALUE"""),"hifiasm_v0.16.1_Canu_v2.1.2")</f>
        <v>hifiasm_v0.16.1_Canu_v2.1.2</v>
      </c>
      <c r="T196" s="6" t="str">
        <f>IFERROR(__xludf.DUMMYFUNCTION("""COMPUTED_VALUE"""),"Pool")</f>
        <v>Pool</v>
      </c>
      <c r="U196" s="6">
        <f>IFERROR(__xludf.DUMMYFUNCTION("""COMPUTED_VALUE"""),2024.0)</f>
        <v>2024</v>
      </c>
      <c r="V196" s="6" t="str">
        <f>IFERROR(__xludf.DUMMYFUNCTION("""COMPUTED_VALUE"""),"yes")</f>
        <v>yes</v>
      </c>
      <c r="W196" s="9" t="str">
        <f>IFERROR(__xludf.DUMMYFUNCTION("""COMPUTED_VALUE"""),"Lian")</f>
        <v>Lian</v>
      </c>
      <c r="X196" s="8" t="str">
        <f>IFERROR(__xludf.DUMMYFUNCTION("""COMPUTED_VALUE"""),"2024")</f>
        <v>2024</v>
      </c>
      <c r="Y196" s="8" t="str">
        <f>IFERROR(__xludf.DUMMYFUNCTION("""COMPUTED_VALUE"""),"NatGenet")</f>
        <v>NatGenet</v>
      </c>
      <c r="Z196" s="10" t="str">
        <f>IFERROR(__xludf.DUMMYFUNCTION("""COMPUTED_VALUE"""),"10.1038/s41588-024-01715-9")</f>
        <v>10.1038/s41588-024-01715-9</v>
      </c>
      <c r="AA196" s="10" t="str">
        <f>IFERROR(__xludf.DUMMYFUNCTION("""COMPUTED_VALUE"""),"https://www.nature.com/articles/s41588-024-01715-9")</f>
        <v>https://www.nature.com/articles/s41588-024-01715-9</v>
      </c>
      <c r="AB196" s="5"/>
    </row>
    <row r="197">
      <c r="A197" s="5">
        <f>IFERROR(__xludf.DUMMYFUNCTION("""COMPUTED_VALUE"""),100195.0)</f>
        <v>100195</v>
      </c>
      <c r="B197" s="8" t="str">
        <f>IFERROR(__xludf.DUMMYFUNCTION("""COMPUTED_VALUE"""),"Kas-1")</f>
        <v>Kas-1</v>
      </c>
      <c r="C197" s="5">
        <f>IFERROR(__xludf.DUMMYFUNCTION("""COMPUTED_VALUE"""),7183.0)</f>
        <v>7183</v>
      </c>
      <c r="D197" s="5"/>
      <c r="E197" s="5"/>
      <c r="F197" s="5">
        <f>IFERROR(__xludf.DUMMYFUNCTION("""COMPUTED_VALUE"""),1.0)</f>
        <v>1</v>
      </c>
      <c r="G197" s="5"/>
      <c r="H197" s="5"/>
      <c r="I197" s="5"/>
      <c r="J197" s="5"/>
      <c r="K197" s="5"/>
      <c r="L197" s="5"/>
      <c r="M197" s="5"/>
      <c r="N197" s="5">
        <f>IFERROR(__xludf.DUMMYFUNCTION("""COMPUTED_VALUE"""),16.0)</f>
        <v>16</v>
      </c>
      <c r="O197" s="5"/>
      <c r="P197" s="5"/>
      <c r="Q197" s="5" t="str">
        <f>IFERROR(__xludf.DUMMYFUNCTION("""COMPUTED_VALUE"""),"no")</f>
        <v>no</v>
      </c>
      <c r="R197" s="5" t="str">
        <f>IFERROR(__xludf.DUMMYFUNCTION("""COMPUTED_VALUE"""),"HiFi")</f>
        <v>HiFi</v>
      </c>
      <c r="S197" s="8" t="str">
        <f>IFERROR(__xludf.DUMMYFUNCTION("""COMPUTED_VALUE"""),"hifiasm_v0.16.1_Canu_v2.1.3")</f>
        <v>hifiasm_v0.16.1_Canu_v2.1.3</v>
      </c>
      <c r="T197" s="6" t="str">
        <f>IFERROR(__xludf.DUMMYFUNCTION("""COMPUTED_VALUE"""),"Pool")</f>
        <v>Pool</v>
      </c>
      <c r="U197" s="6">
        <f>IFERROR(__xludf.DUMMYFUNCTION("""COMPUTED_VALUE"""),2024.0)</f>
        <v>2024</v>
      </c>
      <c r="V197" s="6" t="str">
        <f>IFERROR(__xludf.DUMMYFUNCTION("""COMPUTED_VALUE"""),"yes")</f>
        <v>yes</v>
      </c>
      <c r="W197" s="9" t="str">
        <f>IFERROR(__xludf.DUMMYFUNCTION("""COMPUTED_VALUE"""),"Lian")</f>
        <v>Lian</v>
      </c>
      <c r="X197" s="8" t="str">
        <f>IFERROR(__xludf.DUMMYFUNCTION("""COMPUTED_VALUE"""),"2024")</f>
        <v>2024</v>
      </c>
      <c r="Y197" s="8" t="str">
        <f>IFERROR(__xludf.DUMMYFUNCTION("""COMPUTED_VALUE"""),"NatGenet")</f>
        <v>NatGenet</v>
      </c>
      <c r="Z197" s="10" t="str">
        <f>IFERROR(__xludf.DUMMYFUNCTION("""COMPUTED_VALUE"""),"10.1038/s41588-024-01715-9")</f>
        <v>10.1038/s41588-024-01715-9</v>
      </c>
      <c r="AA197" s="10" t="str">
        <f>IFERROR(__xludf.DUMMYFUNCTION("""COMPUTED_VALUE"""),"https://www.nature.com/articles/s41588-024-01715-9")</f>
        <v>https://www.nature.com/articles/s41588-024-01715-9</v>
      </c>
      <c r="AB197" s="5"/>
    </row>
    <row r="198">
      <c r="A198" s="5">
        <f>IFERROR(__xludf.DUMMYFUNCTION("""COMPUTED_VALUE"""),100196.0)</f>
        <v>100196</v>
      </c>
      <c r="B198" s="8" t="str">
        <f>IFERROR(__xludf.DUMMYFUNCTION("""COMPUTED_VALUE"""),"Mh-0")</f>
        <v>Mh-0</v>
      </c>
      <c r="C198" s="5">
        <f>IFERROR(__xludf.DUMMYFUNCTION("""COMPUTED_VALUE"""),7255.0)</f>
        <v>7255</v>
      </c>
      <c r="D198" s="5"/>
      <c r="E198" s="5">
        <f>IFERROR(__xludf.DUMMYFUNCTION("""COMPUTED_VALUE"""),100196.0)</f>
        <v>100196</v>
      </c>
      <c r="F198" s="5">
        <f>IFERROR(__xludf.DUMMYFUNCTION("""COMPUTED_VALUE"""),1.0)</f>
        <v>1</v>
      </c>
      <c r="G198" s="5"/>
      <c r="H198" s="5" t="b">
        <f>IFERROR(__xludf.DUMMYFUNCTION("""COMPUTED_VALUE"""),FALSE)</f>
        <v>0</v>
      </c>
      <c r="I198" s="5"/>
      <c r="J198" s="5"/>
      <c r="K198" s="5"/>
      <c r="L198" s="5"/>
      <c r="M198" s="5"/>
      <c r="N198" s="5">
        <f>IFERROR(__xludf.DUMMYFUNCTION("""COMPUTED_VALUE"""),6.0)</f>
        <v>6</v>
      </c>
      <c r="O198" s="5"/>
      <c r="P198" s="5"/>
      <c r="Q198" s="5" t="str">
        <f>IFERROR(__xludf.DUMMYFUNCTION("""COMPUTED_VALUE"""),"no")</f>
        <v>no</v>
      </c>
      <c r="R198" s="5" t="str">
        <f>IFERROR(__xludf.DUMMYFUNCTION("""COMPUTED_VALUE"""),"HiFi")</f>
        <v>HiFi</v>
      </c>
      <c r="S198" s="8" t="str">
        <f>IFERROR(__xludf.DUMMYFUNCTION("""COMPUTED_VALUE"""),"hifiasm_v0.16.1_Canu_v2.1.4")</f>
        <v>hifiasm_v0.16.1_Canu_v2.1.4</v>
      </c>
      <c r="T198" s="6" t="str">
        <f>IFERROR(__xludf.DUMMYFUNCTION("""COMPUTED_VALUE"""),"Pool")</f>
        <v>Pool</v>
      </c>
      <c r="U198" s="6">
        <f>IFERROR(__xludf.DUMMYFUNCTION("""COMPUTED_VALUE"""),2024.0)</f>
        <v>2024</v>
      </c>
      <c r="V198" s="6" t="str">
        <f>IFERROR(__xludf.DUMMYFUNCTION("""COMPUTED_VALUE"""),"yes")</f>
        <v>yes</v>
      </c>
      <c r="W198" s="9" t="str">
        <f>IFERROR(__xludf.DUMMYFUNCTION("""COMPUTED_VALUE"""),"Lian")</f>
        <v>Lian</v>
      </c>
      <c r="X198" s="8" t="str">
        <f>IFERROR(__xludf.DUMMYFUNCTION("""COMPUTED_VALUE"""),"2024")</f>
        <v>2024</v>
      </c>
      <c r="Y198" s="8" t="str">
        <f>IFERROR(__xludf.DUMMYFUNCTION("""COMPUTED_VALUE"""),"NatGenet")</f>
        <v>NatGenet</v>
      </c>
      <c r="Z198" s="10" t="str">
        <f>IFERROR(__xludf.DUMMYFUNCTION("""COMPUTED_VALUE"""),"10.1038/s41588-024-01715-9")</f>
        <v>10.1038/s41588-024-01715-9</v>
      </c>
      <c r="AA198" s="10" t="str">
        <f>IFERROR(__xludf.DUMMYFUNCTION("""COMPUTED_VALUE"""),"https://www.nature.com/articles/s41588-024-01715-9")</f>
        <v>https://www.nature.com/articles/s41588-024-01715-9</v>
      </c>
      <c r="AB198" s="5"/>
    </row>
    <row r="199">
      <c r="A199" s="5">
        <f>IFERROR(__xludf.DUMMYFUNCTION("""COMPUTED_VALUE"""),100197.0)</f>
        <v>100197</v>
      </c>
      <c r="B199" s="8" t="str">
        <f>IFERROR(__xludf.DUMMYFUNCTION("""COMPUTED_VALUE"""),"Mr-0")</f>
        <v>Mr-0</v>
      </c>
      <c r="C199" s="5">
        <f>IFERROR(__xludf.DUMMYFUNCTION("""COMPUTED_VALUE"""),22104.0)</f>
        <v>22104</v>
      </c>
      <c r="D199" s="5"/>
      <c r="E199" s="5">
        <f>IFERROR(__xludf.DUMMYFUNCTION("""COMPUTED_VALUE"""),100197.0)</f>
        <v>100197</v>
      </c>
      <c r="F199" s="5">
        <f>IFERROR(__xludf.DUMMYFUNCTION("""COMPUTED_VALUE"""),1.0)</f>
        <v>1</v>
      </c>
      <c r="G199" s="5"/>
      <c r="H199" s="5" t="b">
        <f>IFERROR(__xludf.DUMMYFUNCTION("""COMPUTED_VALUE"""),FALSE)</f>
        <v>0</v>
      </c>
      <c r="I199" s="5"/>
      <c r="J199" s="5"/>
      <c r="K199" s="5"/>
      <c r="L199" s="5"/>
      <c r="M199" s="5"/>
      <c r="N199" s="5">
        <f>IFERROR(__xludf.DUMMYFUNCTION("""COMPUTED_VALUE"""),10.0)</f>
        <v>10</v>
      </c>
      <c r="O199" s="5"/>
      <c r="P199" s="5"/>
      <c r="Q199" s="5" t="str">
        <f>IFERROR(__xludf.DUMMYFUNCTION("""COMPUTED_VALUE"""),"no")</f>
        <v>no</v>
      </c>
      <c r="R199" s="5" t="str">
        <f>IFERROR(__xludf.DUMMYFUNCTION("""COMPUTED_VALUE"""),"HiFi")</f>
        <v>HiFi</v>
      </c>
      <c r="S199" s="8" t="str">
        <f>IFERROR(__xludf.DUMMYFUNCTION("""COMPUTED_VALUE"""),"hifiasm_v0.16.1_Canu_v2.1.5")</f>
        <v>hifiasm_v0.16.1_Canu_v2.1.5</v>
      </c>
      <c r="T199" s="6" t="str">
        <f>IFERROR(__xludf.DUMMYFUNCTION("""COMPUTED_VALUE"""),"Pool")</f>
        <v>Pool</v>
      </c>
      <c r="U199" s="6">
        <f>IFERROR(__xludf.DUMMYFUNCTION("""COMPUTED_VALUE"""),2024.0)</f>
        <v>2024</v>
      </c>
      <c r="V199" s="6" t="str">
        <f>IFERROR(__xludf.DUMMYFUNCTION("""COMPUTED_VALUE"""),"yes")</f>
        <v>yes</v>
      </c>
      <c r="W199" s="9" t="str">
        <f>IFERROR(__xludf.DUMMYFUNCTION("""COMPUTED_VALUE"""),"Lian")</f>
        <v>Lian</v>
      </c>
      <c r="X199" s="8" t="str">
        <f>IFERROR(__xludf.DUMMYFUNCTION("""COMPUTED_VALUE"""),"2024")</f>
        <v>2024</v>
      </c>
      <c r="Y199" s="8" t="str">
        <f>IFERROR(__xludf.DUMMYFUNCTION("""COMPUTED_VALUE"""),"NatGenet")</f>
        <v>NatGenet</v>
      </c>
      <c r="Z199" s="10" t="str">
        <f>IFERROR(__xludf.DUMMYFUNCTION("""COMPUTED_VALUE"""),"10.1038/s41588-024-01715-9")</f>
        <v>10.1038/s41588-024-01715-9</v>
      </c>
      <c r="AA199" s="10" t="str">
        <f>IFERROR(__xludf.DUMMYFUNCTION("""COMPUTED_VALUE"""),"https://www.nature.com/articles/s41588-024-01715-9")</f>
        <v>https://www.nature.com/articles/s41588-024-01715-9</v>
      </c>
      <c r="AB199" s="5"/>
    </row>
    <row r="200">
      <c r="A200" s="5">
        <f>IFERROR(__xludf.DUMMYFUNCTION("""COMPUTED_VALUE"""),100198.0)</f>
        <v>100198</v>
      </c>
      <c r="B200" s="8" t="str">
        <f>IFERROR(__xludf.DUMMYFUNCTION("""COMPUTED_VALUE"""),"Ms-0")</f>
        <v>Ms-0</v>
      </c>
      <c r="C200" s="5">
        <f>IFERROR(__xludf.DUMMYFUNCTION("""COMPUTED_VALUE"""),6938.0)</f>
        <v>6938</v>
      </c>
      <c r="D200" s="5"/>
      <c r="E200" s="5">
        <f>IFERROR(__xludf.DUMMYFUNCTION("""COMPUTED_VALUE"""),100198.0)</f>
        <v>100198</v>
      </c>
      <c r="F200" s="5">
        <f>IFERROR(__xludf.DUMMYFUNCTION("""COMPUTED_VALUE"""),1.0)</f>
        <v>1</v>
      </c>
      <c r="G200" s="5"/>
      <c r="H200" s="5" t="b">
        <f>IFERROR(__xludf.DUMMYFUNCTION("""COMPUTED_VALUE"""),FALSE)</f>
        <v>0</v>
      </c>
      <c r="I200" s="5"/>
      <c r="J200" s="5"/>
      <c r="K200" s="5"/>
      <c r="L200" s="5"/>
      <c r="M200" s="5"/>
      <c r="N200" s="5">
        <f>IFERROR(__xludf.DUMMYFUNCTION("""COMPUTED_VALUE"""),16.0)</f>
        <v>16</v>
      </c>
      <c r="O200" s="5"/>
      <c r="P200" s="5"/>
      <c r="Q200" s="5" t="str">
        <f>IFERROR(__xludf.DUMMYFUNCTION("""COMPUTED_VALUE"""),"no")</f>
        <v>no</v>
      </c>
      <c r="R200" s="5" t="str">
        <f>IFERROR(__xludf.DUMMYFUNCTION("""COMPUTED_VALUE"""),"HiFi")</f>
        <v>HiFi</v>
      </c>
      <c r="S200" s="8" t="str">
        <f>IFERROR(__xludf.DUMMYFUNCTION("""COMPUTED_VALUE"""),"hifiasm_v0.16.1_Canu_v2.1.6")</f>
        <v>hifiasm_v0.16.1_Canu_v2.1.6</v>
      </c>
      <c r="T200" s="6" t="str">
        <f>IFERROR(__xludf.DUMMYFUNCTION("""COMPUTED_VALUE"""),"Pool")</f>
        <v>Pool</v>
      </c>
      <c r="U200" s="6">
        <f>IFERROR(__xludf.DUMMYFUNCTION("""COMPUTED_VALUE"""),2024.0)</f>
        <v>2024</v>
      </c>
      <c r="V200" s="6" t="str">
        <f>IFERROR(__xludf.DUMMYFUNCTION("""COMPUTED_VALUE"""),"yes")</f>
        <v>yes</v>
      </c>
      <c r="W200" s="9" t="str">
        <f>IFERROR(__xludf.DUMMYFUNCTION("""COMPUTED_VALUE"""),"Lian")</f>
        <v>Lian</v>
      </c>
      <c r="X200" s="8" t="str">
        <f>IFERROR(__xludf.DUMMYFUNCTION("""COMPUTED_VALUE"""),"2024")</f>
        <v>2024</v>
      </c>
      <c r="Y200" s="8" t="str">
        <f>IFERROR(__xludf.DUMMYFUNCTION("""COMPUTED_VALUE"""),"NatGenet")</f>
        <v>NatGenet</v>
      </c>
      <c r="Z200" s="10" t="str">
        <f>IFERROR(__xludf.DUMMYFUNCTION("""COMPUTED_VALUE"""),"10.1038/s41588-024-01715-9")</f>
        <v>10.1038/s41588-024-01715-9</v>
      </c>
      <c r="AA200" s="10" t="str">
        <f>IFERROR(__xludf.DUMMYFUNCTION("""COMPUTED_VALUE"""),"https://www.nature.com/articles/s41588-024-01715-9")</f>
        <v>https://www.nature.com/articles/s41588-024-01715-9</v>
      </c>
      <c r="AB200" s="5"/>
    </row>
    <row r="201">
      <c r="A201" s="5">
        <f>IFERROR(__xludf.DUMMYFUNCTION("""COMPUTED_VALUE"""),100199.0)</f>
        <v>100199</v>
      </c>
      <c r="B201" s="8" t="str">
        <f>IFERROR(__xludf.DUMMYFUNCTION("""COMPUTED_VALUE"""),"Co-4")</f>
        <v>Co-4</v>
      </c>
      <c r="C201" s="5">
        <f>IFERROR(__xludf.DUMMYFUNCTION("""COMPUTED_VALUE"""),22105.0)</f>
        <v>22105</v>
      </c>
      <c r="D201" s="5"/>
      <c r="E201" s="5">
        <f>IFERROR(__xludf.DUMMYFUNCTION("""COMPUTED_VALUE"""),100199.0)</f>
        <v>100199</v>
      </c>
      <c r="F201" s="5">
        <f>IFERROR(__xludf.DUMMYFUNCTION("""COMPUTED_VALUE"""),1.0)</f>
        <v>1</v>
      </c>
      <c r="G201" s="5"/>
      <c r="H201" s="5" t="b">
        <f>IFERROR(__xludf.DUMMYFUNCTION("""COMPUTED_VALUE"""),FALSE)</f>
        <v>0</v>
      </c>
      <c r="I201" s="5"/>
      <c r="J201" s="5"/>
      <c r="K201" s="5"/>
      <c r="L201" s="5"/>
      <c r="M201" s="5"/>
      <c r="N201" s="5">
        <f>IFERROR(__xludf.DUMMYFUNCTION("""COMPUTED_VALUE"""),12.0)</f>
        <v>12</v>
      </c>
      <c r="O201" s="5"/>
      <c r="P201" s="5"/>
      <c r="Q201" s="5" t="str">
        <f>IFERROR(__xludf.DUMMYFUNCTION("""COMPUTED_VALUE"""),"no")</f>
        <v>no</v>
      </c>
      <c r="R201" s="5" t="str">
        <f>IFERROR(__xludf.DUMMYFUNCTION("""COMPUTED_VALUE"""),"HiFi")</f>
        <v>HiFi</v>
      </c>
      <c r="S201" s="8" t="str">
        <f>IFERROR(__xludf.DUMMYFUNCTION("""COMPUTED_VALUE"""),"hifiasm_v0.16.1_Canu_v2.1.7")</f>
        <v>hifiasm_v0.16.1_Canu_v2.1.7</v>
      </c>
      <c r="T201" s="6" t="str">
        <f>IFERROR(__xludf.DUMMYFUNCTION("""COMPUTED_VALUE"""),"Pool")</f>
        <v>Pool</v>
      </c>
      <c r="U201" s="6">
        <f>IFERROR(__xludf.DUMMYFUNCTION("""COMPUTED_VALUE"""),2024.0)</f>
        <v>2024</v>
      </c>
      <c r="V201" s="6" t="str">
        <f>IFERROR(__xludf.DUMMYFUNCTION("""COMPUTED_VALUE"""),"yes")</f>
        <v>yes</v>
      </c>
      <c r="W201" s="9" t="str">
        <f>IFERROR(__xludf.DUMMYFUNCTION("""COMPUTED_VALUE"""),"Lian")</f>
        <v>Lian</v>
      </c>
      <c r="X201" s="8" t="str">
        <f>IFERROR(__xludf.DUMMYFUNCTION("""COMPUTED_VALUE"""),"2024")</f>
        <v>2024</v>
      </c>
      <c r="Y201" s="8" t="str">
        <f>IFERROR(__xludf.DUMMYFUNCTION("""COMPUTED_VALUE"""),"NatGenet")</f>
        <v>NatGenet</v>
      </c>
      <c r="Z201" s="10" t="str">
        <f>IFERROR(__xludf.DUMMYFUNCTION("""COMPUTED_VALUE"""),"10.1038/s41588-024-01715-9")</f>
        <v>10.1038/s41588-024-01715-9</v>
      </c>
      <c r="AA201" s="10" t="str">
        <f>IFERROR(__xludf.DUMMYFUNCTION("""COMPUTED_VALUE"""),"https://www.nature.com/articles/s41588-024-01715-9")</f>
        <v>https://www.nature.com/articles/s41588-024-01715-9</v>
      </c>
      <c r="AB201" s="5"/>
    </row>
    <row r="202">
      <c r="A202" s="5">
        <f>IFERROR(__xludf.DUMMYFUNCTION("""COMPUTED_VALUE"""),100200.0)</f>
        <v>100200</v>
      </c>
      <c r="B202" s="8" t="str">
        <f>IFERROR(__xludf.DUMMYFUNCTION("""COMPUTED_VALUE"""),"Est-1")</f>
        <v>Est-1</v>
      </c>
      <c r="C202" s="5">
        <f>IFERROR(__xludf.DUMMYFUNCTION("""COMPUTED_VALUE"""),6916.0)</f>
        <v>6916</v>
      </c>
      <c r="D202" s="5"/>
      <c r="E202" s="5"/>
      <c r="F202" s="5">
        <f>IFERROR(__xludf.DUMMYFUNCTION("""COMPUTED_VALUE"""),1.0)</f>
        <v>1</v>
      </c>
      <c r="G202" s="5"/>
      <c r="H202" s="5"/>
      <c r="I202" s="5"/>
      <c r="J202" s="5"/>
      <c r="K202" s="5"/>
      <c r="L202" s="5"/>
      <c r="M202" s="5"/>
      <c r="N202" s="5">
        <f>IFERROR(__xludf.DUMMYFUNCTION("""COMPUTED_VALUE"""),18.0)</f>
        <v>18</v>
      </c>
      <c r="O202" s="5"/>
      <c r="P202" s="5"/>
      <c r="Q202" s="5" t="str">
        <f>IFERROR(__xludf.DUMMYFUNCTION("""COMPUTED_VALUE"""),"no")</f>
        <v>no</v>
      </c>
      <c r="R202" s="5" t="str">
        <f>IFERROR(__xludf.DUMMYFUNCTION("""COMPUTED_VALUE"""),"HiFi")</f>
        <v>HiFi</v>
      </c>
      <c r="S202" s="8" t="str">
        <f>IFERROR(__xludf.DUMMYFUNCTION("""COMPUTED_VALUE"""),"hifiasm_v0.16.1_Canu_v2.1.8")</f>
        <v>hifiasm_v0.16.1_Canu_v2.1.8</v>
      </c>
      <c r="T202" s="6" t="str">
        <f>IFERROR(__xludf.DUMMYFUNCTION("""COMPUTED_VALUE"""),"Pool")</f>
        <v>Pool</v>
      </c>
      <c r="U202" s="6">
        <f>IFERROR(__xludf.DUMMYFUNCTION("""COMPUTED_VALUE"""),2024.0)</f>
        <v>2024</v>
      </c>
      <c r="V202" s="6" t="str">
        <f>IFERROR(__xludf.DUMMYFUNCTION("""COMPUTED_VALUE"""),"yes")</f>
        <v>yes</v>
      </c>
      <c r="W202" s="9" t="str">
        <f>IFERROR(__xludf.DUMMYFUNCTION("""COMPUTED_VALUE"""),"Lian")</f>
        <v>Lian</v>
      </c>
      <c r="X202" s="8" t="str">
        <f>IFERROR(__xludf.DUMMYFUNCTION("""COMPUTED_VALUE"""),"2024")</f>
        <v>2024</v>
      </c>
      <c r="Y202" s="8" t="str">
        <f>IFERROR(__xludf.DUMMYFUNCTION("""COMPUTED_VALUE"""),"NatGenet")</f>
        <v>NatGenet</v>
      </c>
      <c r="Z202" s="10" t="str">
        <f>IFERROR(__xludf.DUMMYFUNCTION("""COMPUTED_VALUE"""),"10.1038/s41588-024-01715-9")</f>
        <v>10.1038/s41588-024-01715-9</v>
      </c>
      <c r="AA202" s="10" t="str">
        <f>IFERROR(__xludf.DUMMYFUNCTION("""COMPUTED_VALUE"""),"https://www.nature.com/articles/s41588-024-01715-9")</f>
        <v>https://www.nature.com/articles/s41588-024-01715-9</v>
      </c>
      <c r="AB202" s="5"/>
    </row>
    <row r="203">
      <c r="A203" s="5">
        <f>IFERROR(__xludf.DUMMYFUNCTION("""COMPUTED_VALUE"""),100201.0)</f>
        <v>100201</v>
      </c>
      <c r="B203" s="8" t="str">
        <f>IFERROR(__xludf.DUMMYFUNCTION("""COMPUTED_VALUE"""),"Had-6b")</f>
        <v>Had-6b</v>
      </c>
      <c r="C203" s="8">
        <f>IFERROR(__xludf.DUMMYFUNCTION("""COMPUTED_VALUE"""),22106.0)</f>
        <v>22106</v>
      </c>
      <c r="D203" s="5"/>
      <c r="E203" s="5"/>
      <c r="F203" s="5">
        <f>IFERROR(__xludf.DUMMYFUNCTION("""COMPUTED_VALUE"""),1.0)</f>
        <v>1</v>
      </c>
      <c r="G203" s="5"/>
      <c r="H203" s="5"/>
      <c r="I203" s="5"/>
      <c r="J203" s="5"/>
      <c r="K203" s="5"/>
      <c r="L203" s="5"/>
      <c r="M203" s="5"/>
      <c r="N203" s="5">
        <f>IFERROR(__xludf.DUMMYFUNCTION("""COMPUTED_VALUE"""),12.0)</f>
        <v>12</v>
      </c>
      <c r="O203" s="5"/>
      <c r="P203" s="5"/>
      <c r="Q203" s="5" t="str">
        <f>IFERROR(__xludf.DUMMYFUNCTION("""COMPUTED_VALUE"""),"yes")</f>
        <v>yes</v>
      </c>
      <c r="R203" s="5" t="str">
        <f>IFERROR(__xludf.DUMMYFUNCTION("""COMPUTED_VALUE"""),"HiFi")</f>
        <v>HiFi</v>
      </c>
      <c r="S203" s="8" t="str">
        <f>IFERROR(__xludf.DUMMYFUNCTION("""COMPUTED_VALUE"""),"hifiasm_v0.16.1_Canu_v2.1.9")</f>
        <v>hifiasm_v0.16.1_Canu_v2.1.9</v>
      </c>
      <c r="T203" s="6" t="str">
        <f>IFERROR(__xludf.DUMMYFUNCTION("""COMPUTED_VALUE"""),"Pool")</f>
        <v>Pool</v>
      </c>
      <c r="U203" s="6">
        <f>IFERROR(__xludf.DUMMYFUNCTION("""COMPUTED_VALUE"""),2024.0)</f>
        <v>2024</v>
      </c>
      <c r="V203" s="6" t="str">
        <f>IFERROR(__xludf.DUMMYFUNCTION("""COMPUTED_VALUE"""),"yes")</f>
        <v>yes</v>
      </c>
      <c r="W203" s="9" t="str">
        <f>IFERROR(__xludf.DUMMYFUNCTION("""COMPUTED_VALUE"""),"Lian")</f>
        <v>Lian</v>
      </c>
      <c r="X203" s="8" t="str">
        <f>IFERROR(__xludf.DUMMYFUNCTION("""COMPUTED_VALUE"""),"2024")</f>
        <v>2024</v>
      </c>
      <c r="Y203" s="8" t="str">
        <f>IFERROR(__xludf.DUMMYFUNCTION("""COMPUTED_VALUE"""),"NatGenet")</f>
        <v>NatGenet</v>
      </c>
      <c r="Z203" s="10" t="str">
        <f>IFERROR(__xludf.DUMMYFUNCTION("""COMPUTED_VALUE"""),"10.1038/s41588-024-01715-9")</f>
        <v>10.1038/s41588-024-01715-9</v>
      </c>
      <c r="AA203" s="10" t="str">
        <f>IFERROR(__xludf.DUMMYFUNCTION("""COMPUTED_VALUE"""),"https://www.nature.com/articles/s41588-024-01715-9")</f>
        <v>https://www.nature.com/articles/s41588-024-01715-9</v>
      </c>
      <c r="AB203" s="5"/>
    </row>
    <row r="204">
      <c r="A204" s="5">
        <f>IFERROR(__xludf.DUMMYFUNCTION("""COMPUTED_VALUE"""),100202.0)</f>
        <v>100202</v>
      </c>
      <c r="B204" s="8" t="str">
        <f>IFERROR(__xludf.DUMMYFUNCTION("""COMPUTED_VALUE"""),"Hiroshima")</f>
        <v>Hiroshima</v>
      </c>
      <c r="C204" s="8">
        <f>IFERROR(__xludf.DUMMYFUNCTION("""COMPUTED_VALUE"""),22107.0)</f>
        <v>22107</v>
      </c>
      <c r="D204" s="5"/>
      <c r="E204" s="5">
        <f>IFERROR(__xludf.DUMMYFUNCTION("""COMPUTED_VALUE"""),100202.0)</f>
        <v>100202</v>
      </c>
      <c r="F204" s="5">
        <f>IFERROR(__xludf.DUMMYFUNCTION("""COMPUTED_VALUE"""),1.0)</f>
        <v>1</v>
      </c>
      <c r="G204" s="5"/>
      <c r="H204" s="5" t="b">
        <f>IFERROR(__xludf.DUMMYFUNCTION("""COMPUTED_VALUE"""),FALSE)</f>
        <v>0</v>
      </c>
      <c r="I204" s="5"/>
      <c r="J204" s="5"/>
      <c r="K204" s="5"/>
      <c r="L204" s="5"/>
      <c r="M204" s="5"/>
      <c r="N204" s="5">
        <f>IFERROR(__xludf.DUMMYFUNCTION("""COMPUTED_VALUE"""),6.0)</f>
        <v>6</v>
      </c>
      <c r="O204" s="5"/>
      <c r="P204" s="5"/>
      <c r="Q204" s="5" t="str">
        <f>IFERROR(__xludf.DUMMYFUNCTION("""COMPUTED_VALUE"""),"no")</f>
        <v>no</v>
      </c>
      <c r="R204" s="5" t="str">
        <f>IFERROR(__xludf.DUMMYFUNCTION("""COMPUTED_VALUE"""),"HiFi")</f>
        <v>HiFi</v>
      </c>
      <c r="S204" s="8" t="str">
        <f>IFERROR(__xludf.DUMMYFUNCTION("""COMPUTED_VALUE"""),"hifiasm_v0.16.1_Canu_v2.1.10")</f>
        <v>hifiasm_v0.16.1_Canu_v2.1.10</v>
      </c>
      <c r="T204" s="6" t="str">
        <f>IFERROR(__xludf.DUMMYFUNCTION("""COMPUTED_VALUE"""),"Pool")</f>
        <v>Pool</v>
      </c>
      <c r="U204" s="6">
        <f>IFERROR(__xludf.DUMMYFUNCTION("""COMPUTED_VALUE"""),2024.0)</f>
        <v>2024</v>
      </c>
      <c r="V204" s="6" t="str">
        <f>IFERROR(__xludf.DUMMYFUNCTION("""COMPUTED_VALUE"""),"yes")</f>
        <v>yes</v>
      </c>
      <c r="W204" s="9" t="str">
        <f>IFERROR(__xludf.DUMMYFUNCTION("""COMPUTED_VALUE"""),"Lian")</f>
        <v>Lian</v>
      </c>
      <c r="X204" s="8" t="str">
        <f>IFERROR(__xludf.DUMMYFUNCTION("""COMPUTED_VALUE"""),"2024")</f>
        <v>2024</v>
      </c>
      <c r="Y204" s="8" t="str">
        <f>IFERROR(__xludf.DUMMYFUNCTION("""COMPUTED_VALUE"""),"NatGenet")</f>
        <v>NatGenet</v>
      </c>
      <c r="Z204" s="10" t="str">
        <f>IFERROR(__xludf.DUMMYFUNCTION("""COMPUTED_VALUE"""),"10.1038/s41588-024-01715-9")</f>
        <v>10.1038/s41588-024-01715-9</v>
      </c>
      <c r="AA204" s="10" t="str">
        <f>IFERROR(__xludf.DUMMYFUNCTION("""COMPUTED_VALUE"""),"https://www.nature.com/articles/s41588-024-01715-9")</f>
        <v>https://www.nature.com/articles/s41588-024-01715-9</v>
      </c>
      <c r="AB204" s="5"/>
    </row>
    <row r="205">
      <c r="A205" s="5">
        <f>IFERROR(__xludf.DUMMYFUNCTION("""COMPUTED_VALUE"""),100203.0)</f>
        <v>100203</v>
      </c>
      <c r="B205" s="8" t="str">
        <f>IFERROR(__xludf.DUMMYFUNCTION("""COMPUTED_VALUE"""),"Ishikawa")</f>
        <v>Ishikawa</v>
      </c>
      <c r="C205" s="8">
        <f>IFERROR(__xludf.DUMMYFUNCTION("""COMPUTED_VALUE"""),22108.0)</f>
        <v>22108</v>
      </c>
      <c r="D205" s="5"/>
      <c r="E205" s="5"/>
      <c r="F205" s="5">
        <f>IFERROR(__xludf.DUMMYFUNCTION("""COMPUTED_VALUE"""),1.0)</f>
        <v>1</v>
      </c>
      <c r="G205" s="5"/>
      <c r="H205" s="5"/>
      <c r="I205" s="5"/>
      <c r="J205" s="5"/>
      <c r="K205" s="5"/>
      <c r="L205" s="5"/>
      <c r="M205" s="5"/>
      <c r="N205" s="5">
        <f>IFERROR(__xludf.DUMMYFUNCTION("""COMPUTED_VALUE"""),10.0)</f>
        <v>10</v>
      </c>
      <c r="O205" s="5"/>
      <c r="P205" s="5"/>
      <c r="Q205" s="5" t="str">
        <f>IFERROR(__xludf.DUMMYFUNCTION("""COMPUTED_VALUE"""),"yes")</f>
        <v>yes</v>
      </c>
      <c r="R205" s="5" t="str">
        <f>IFERROR(__xludf.DUMMYFUNCTION("""COMPUTED_VALUE"""),"HiFi")</f>
        <v>HiFi</v>
      </c>
      <c r="S205" s="8" t="str">
        <f>IFERROR(__xludf.DUMMYFUNCTION("""COMPUTED_VALUE"""),"hifiasm_v0.16.1_Canu_v2.1.11")</f>
        <v>hifiasm_v0.16.1_Canu_v2.1.11</v>
      </c>
      <c r="T205" s="6" t="str">
        <f>IFERROR(__xludf.DUMMYFUNCTION("""COMPUTED_VALUE"""),"Pool")</f>
        <v>Pool</v>
      </c>
      <c r="U205" s="6">
        <f>IFERROR(__xludf.DUMMYFUNCTION("""COMPUTED_VALUE"""),2024.0)</f>
        <v>2024</v>
      </c>
      <c r="V205" s="6" t="str">
        <f>IFERROR(__xludf.DUMMYFUNCTION("""COMPUTED_VALUE"""),"yes")</f>
        <v>yes</v>
      </c>
      <c r="W205" s="9" t="str">
        <f>IFERROR(__xludf.DUMMYFUNCTION("""COMPUTED_VALUE"""),"Lian")</f>
        <v>Lian</v>
      </c>
      <c r="X205" s="8" t="str">
        <f>IFERROR(__xludf.DUMMYFUNCTION("""COMPUTED_VALUE"""),"2024")</f>
        <v>2024</v>
      </c>
      <c r="Y205" s="8" t="str">
        <f>IFERROR(__xludf.DUMMYFUNCTION("""COMPUTED_VALUE"""),"NatGenet")</f>
        <v>NatGenet</v>
      </c>
      <c r="Z205" s="10" t="str">
        <f>IFERROR(__xludf.DUMMYFUNCTION("""COMPUTED_VALUE"""),"10.1038/s41588-024-01715-9")</f>
        <v>10.1038/s41588-024-01715-9</v>
      </c>
      <c r="AA205" s="10" t="str">
        <f>IFERROR(__xludf.DUMMYFUNCTION("""COMPUTED_VALUE"""),"https://www.nature.com/articles/s41588-024-01715-9")</f>
        <v>https://www.nature.com/articles/s41588-024-01715-9</v>
      </c>
      <c r="AB205" s="5"/>
    </row>
    <row r="206">
      <c r="A206" s="5">
        <f>IFERROR(__xludf.DUMMYFUNCTION("""COMPUTED_VALUE"""),100204.0)</f>
        <v>100204</v>
      </c>
      <c r="B206" s="8" t="str">
        <f>IFERROR(__xludf.DUMMYFUNCTION("""COMPUTED_VALUE"""),"Kyr-1")</f>
        <v>Kyr-1</v>
      </c>
      <c r="C206" s="5">
        <f>IFERROR(__xludf.DUMMYFUNCTION("""COMPUTED_VALUE"""),770.0)</f>
        <v>770</v>
      </c>
      <c r="D206" s="5"/>
      <c r="E206" s="5">
        <f>IFERROR(__xludf.DUMMYFUNCTION("""COMPUTED_VALUE"""),100204.0)</f>
        <v>100204</v>
      </c>
      <c r="F206" s="5">
        <f>IFERROR(__xludf.DUMMYFUNCTION("""COMPUTED_VALUE"""),1.0)</f>
        <v>1</v>
      </c>
      <c r="G206" s="5"/>
      <c r="H206" s="5" t="b">
        <f>IFERROR(__xludf.DUMMYFUNCTION("""COMPUTED_VALUE"""),FALSE)</f>
        <v>0</v>
      </c>
      <c r="I206" s="5"/>
      <c r="J206" s="5"/>
      <c r="K206" s="5"/>
      <c r="L206" s="5"/>
      <c r="M206" s="5"/>
      <c r="N206" s="5">
        <f>IFERROR(__xludf.DUMMYFUNCTION("""COMPUTED_VALUE"""),18.0)</f>
        <v>18</v>
      </c>
      <c r="O206" s="5"/>
      <c r="P206" s="5"/>
      <c r="Q206" s="5" t="str">
        <f>IFERROR(__xludf.DUMMYFUNCTION("""COMPUTED_VALUE"""),"no")</f>
        <v>no</v>
      </c>
      <c r="R206" s="5" t="str">
        <f>IFERROR(__xludf.DUMMYFUNCTION("""COMPUTED_VALUE"""),"HiFi")</f>
        <v>HiFi</v>
      </c>
      <c r="S206" s="8" t="str">
        <f>IFERROR(__xludf.DUMMYFUNCTION("""COMPUTED_VALUE"""),"hifiasm_v0.16.1_Canu_v2.1.12")</f>
        <v>hifiasm_v0.16.1_Canu_v2.1.12</v>
      </c>
      <c r="T206" s="6" t="str">
        <f>IFERROR(__xludf.DUMMYFUNCTION("""COMPUTED_VALUE"""),"Pool")</f>
        <v>Pool</v>
      </c>
      <c r="U206" s="6">
        <f>IFERROR(__xludf.DUMMYFUNCTION("""COMPUTED_VALUE"""),2024.0)</f>
        <v>2024</v>
      </c>
      <c r="V206" s="6" t="str">
        <f>IFERROR(__xludf.DUMMYFUNCTION("""COMPUTED_VALUE"""),"yes")</f>
        <v>yes</v>
      </c>
      <c r="W206" s="9" t="str">
        <f>IFERROR(__xludf.DUMMYFUNCTION("""COMPUTED_VALUE"""),"Lian")</f>
        <v>Lian</v>
      </c>
      <c r="X206" s="8" t="str">
        <f>IFERROR(__xludf.DUMMYFUNCTION("""COMPUTED_VALUE"""),"2024")</f>
        <v>2024</v>
      </c>
      <c r="Y206" s="8" t="str">
        <f>IFERROR(__xludf.DUMMYFUNCTION("""COMPUTED_VALUE"""),"NatGenet")</f>
        <v>NatGenet</v>
      </c>
      <c r="Z206" s="10" t="str">
        <f>IFERROR(__xludf.DUMMYFUNCTION("""COMPUTED_VALUE"""),"10.1038/s41588-024-01715-9")</f>
        <v>10.1038/s41588-024-01715-9</v>
      </c>
      <c r="AA206" s="10" t="str">
        <f>IFERROR(__xludf.DUMMYFUNCTION("""COMPUTED_VALUE"""),"https://www.nature.com/articles/s41588-024-01715-9")</f>
        <v>https://www.nature.com/articles/s41588-024-01715-9</v>
      </c>
      <c r="AB206" s="5"/>
    </row>
    <row r="207">
      <c r="A207" s="5">
        <f>IFERROR(__xludf.DUMMYFUNCTION("""COMPUTED_VALUE"""),100205.0)</f>
        <v>100205</v>
      </c>
      <c r="B207" s="8" t="str">
        <f>IFERROR(__xludf.DUMMYFUNCTION("""COMPUTED_VALUE"""),"Nov-02")</f>
        <v>Nov-02</v>
      </c>
      <c r="C207" s="5">
        <f>IFERROR(__xludf.DUMMYFUNCTION("""COMPUTED_VALUE"""),22109.0)</f>
        <v>22109</v>
      </c>
      <c r="D207" s="5"/>
      <c r="E207" s="5">
        <f>IFERROR(__xludf.DUMMYFUNCTION("""COMPUTED_VALUE"""),100205.0)</f>
        <v>100205</v>
      </c>
      <c r="F207" s="5">
        <f>IFERROR(__xludf.DUMMYFUNCTION("""COMPUTED_VALUE"""),1.0)</f>
        <v>1</v>
      </c>
      <c r="G207" s="5"/>
      <c r="H207" s="5" t="b">
        <f>IFERROR(__xludf.DUMMYFUNCTION("""COMPUTED_VALUE"""),FALSE)</f>
        <v>0</v>
      </c>
      <c r="I207" s="5"/>
      <c r="J207" s="5"/>
      <c r="K207" s="5"/>
      <c r="L207" s="5"/>
      <c r="M207" s="5"/>
      <c r="N207" s="5">
        <f>IFERROR(__xludf.DUMMYFUNCTION("""COMPUTED_VALUE"""),26.0)</f>
        <v>26</v>
      </c>
      <c r="O207" s="5"/>
      <c r="P207" s="5"/>
      <c r="Q207" s="5" t="str">
        <f>IFERROR(__xludf.DUMMYFUNCTION("""COMPUTED_VALUE"""),"no")</f>
        <v>no</v>
      </c>
      <c r="R207" s="5" t="str">
        <f>IFERROR(__xludf.DUMMYFUNCTION("""COMPUTED_VALUE"""),"HiFi")</f>
        <v>HiFi</v>
      </c>
      <c r="S207" s="8" t="str">
        <f>IFERROR(__xludf.DUMMYFUNCTION("""COMPUTED_VALUE"""),"hifiasm_v0.16.1_Canu_v2.1.13")</f>
        <v>hifiasm_v0.16.1_Canu_v2.1.13</v>
      </c>
      <c r="T207" s="6" t="str">
        <f>IFERROR(__xludf.DUMMYFUNCTION("""COMPUTED_VALUE"""),"Pool")</f>
        <v>Pool</v>
      </c>
      <c r="U207" s="6">
        <f>IFERROR(__xludf.DUMMYFUNCTION("""COMPUTED_VALUE"""),2024.0)</f>
        <v>2024</v>
      </c>
      <c r="V207" s="6" t="str">
        <f>IFERROR(__xludf.DUMMYFUNCTION("""COMPUTED_VALUE"""),"yes")</f>
        <v>yes</v>
      </c>
      <c r="W207" s="9" t="str">
        <f>IFERROR(__xludf.DUMMYFUNCTION("""COMPUTED_VALUE"""),"Lian")</f>
        <v>Lian</v>
      </c>
      <c r="X207" s="8" t="str">
        <f>IFERROR(__xludf.DUMMYFUNCTION("""COMPUTED_VALUE"""),"2024")</f>
        <v>2024</v>
      </c>
      <c r="Y207" s="8" t="str">
        <f>IFERROR(__xludf.DUMMYFUNCTION("""COMPUTED_VALUE"""),"NatGenet")</f>
        <v>NatGenet</v>
      </c>
      <c r="Z207" s="10" t="str">
        <f>IFERROR(__xludf.DUMMYFUNCTION("""COMPUTED_VALUE"""),"10.1038/s41588-024-01715-9")</f>
        <v>10.1038/s41588-024-01715-9</v>
      </c>
      <c r="AA207" s="10" t="str">
        <f>IFERROR(__xludf.DUMMYFUNCTION("""COMPUTED_VALUE"""),"https://www.nature.com/articles/s41588-024-01715-9")</f>
        <v>https://www.nature.com/articles/s41588-024-01715-9</v>
      </c>
      <c r="AB207" s="5"/>
    </row>
    <row r="208">
      <c r="A208" s="5">
        <f>IFERROR(__xludf.DUMMYFUNCTION("""COMPUTED_VALUE"""),100206.0)</f>
        <v>100206</v>
      </c>
      <c r="B208" s="8" t="str">
        <f>IFERROR(__xludf.DUMMYFUNCTION("""COMPUTED_VALUE"""),"Rld-2")</f>
        <v>Rld-2</v>
      </c>
      <c r="C208" s="5">
        <f>IFERROR(__xludf.DUMMYFUNCTION("""COMPUTED_VALUE"""),7457.0)</f>
        <v>7457</v>
      </c>
      <c r="D208" s="5"/>
      <c r="E208" s="5"/>
      <c r="F208" s="5">
        <f>IFERROR(__xludf.DUMMYFUNCTION("""COMPUTED_VALUE"""),1.0)</f>
        <v>1</v>
      </c>
      <c r="G208" s="5"/>
      <c r="H208" s="5"/>
      <c r="I208" s="5"/>
      <c r="J208" s="5"/>
      <c r="K208" s="5"/>
      <c r="L208" s="5"/>
      <c r="M208" s="5"/>
      <c r="N208" s="5">
        <f>IFERROR(__xludf.DUMMYFUNCTION("""COMPUTED_VALUE"""),12.0)</f>
        <v>12</v>
      </c>
      <c r="O208" s="5"/>
      <c r="P208" s="5"/>
      <c r="Q208" s="5" t="str">
        <f>IFERROR(__xludf.DUMMYFUNCTION("""COMPUTED_VALUE"""),"yes")</f>
        <v>yes</v>
      </c>
      <c r="R208" s="5" t="str">
        <f>IFERROR(__xludf.DUMMYFUNCTION("""COMPUTED_VALUE"""),"HiFi")</f>
        <v>HiFi</v>
      </c>
      <c r="S208" s="8" t="str">
        <f>IFERROR(__xludf.DUMMYFUNCTION("""COMPUTED_VALUE"""),"hifiasm_v0.16.1_Canu_v2.1.14")</f>
        <v>hifiasm_v0.16.1_Canu_v2.1.14</v>
      </c>
      <c r="T208" s="6" t="str">
        <f>IFERROR(__xludf.DUMMYFUNCTION("""COMPUTED_VALUE"""),"Pool")</f>
        <v>Pool</v>
      </c>
      <c r="U208" s="6">
        <f>IFERROR(__xludf.DUMMYFUNCTION("""COMPUTED_VALUE"""),2024.0)</f>
        <v>2024</v>
      </c>
      <c r="V208" s="6" t="str">
        <f>IFERROR(__xludf.DUMMYFUNCTION("""COMPUTED_VALUE"""),"yes")</f>
        <v>yes</v>
      </c>
      <c r="W208" s="9" t="str">
        <f>IFERROR(__xludf.DUMMYFUNCTION("""COMPUTED_VALUE"""),"Lian")</f>
        <v>Lian</v>
      </c>
      <c r="X208" s="8" t="str">
        <f>IFERROR(__xludf.DUMMYFUNCTION("""COMPUTED_VALUE"""),"2024")</f>
        <v>2024</v>
      </c>
      <c r="Y208" s="8" t="str">
        <f>IFERROR(__xludf.DUMMYFUNCTION("""COMPUTED_VALUE"""),"NatGenet")</f>
        <v>NatGenet</v>
      </c>
      <c r="Z208" s="10" t="str">
        <f>IFERROR(__xludf.DUMMYFUNCTION("""COMPUTED_VALUE"""),"10.1038/s41588-024-01715-9")</f>
        <v>10.1038/s41588-024-01715-9</v>
      </c>
      <c r="AA208" s="10" t="str">
        <f>IFERROR(__xludf.DUMMYFUNCTION("""COMPUTED_VALUE"""),"https://www.nature.com/articles/s41588-024-01715-9")</f>
        <v>https://www.nature.com/articles/s41588-024-01715-9</v>
      </c>
      <c r="AB208" s="5"/>
    </row>
    <row r="209">
      <c r="A209" s="5">
        <f>IFERROR(__xludf.DUMMYFUNCTION("""COMPUTED_VALUE"""),100207.0)</f>
        <v>100207</v>
      </c>
      <c r="B209" s="8" t="str">
        <f>IFERROR(__xludf.DUMMYFUNCTION("""COMPUTED_VALUE"""),"Abd-0")</f>
        <v>Abd-0</v>
      </c>
      <c r="C209" s="5">
        <f>IFERROR(__xludf.DUMMYFUNCTION("""COMPUTED_VALUE"""),6986.0)</f>
        <v>6986</v>
      </c>
      <c r="D209" s="5"/>
      <c r="E209" s="5">
        <f>IFERROR(__xludf.DUMMYFUNCTION("""COMPUTED_VALUE"""),100207.0)</f>
        <v>100207</v>
      </c>
      <c r="F209" s="5">
        <f>IFERROR(__xludf.DUMMYFUNCTION("""COMPUTED_VALUE"""),1.0)</f>
        <v>1</v>
      </c>
      <c r="G209" s="5"/>
      <c r="H209" s="5" t="b">
        <f>IFERROR(__xludf.DUMMYFUNCTION("""COMPUTED_VALUE"""),FALSE)</f>
        <v>0</v>
      </c>
      <c r="I209" s="5"/>
      <c r="J209" s="5"/>
      <c r="K209" s="5"/>
      <c r="L209" s="5"/>
      <c r="M209" s="5"/>
      <c r="N209" s="5">
        <f>IFERROR(__xludf.DUMMYFUNCTION("""COMPUTED_VALUE"""),13.0)</f>
        <v>13</v>
      </c>
      <c r="O209" s="5"/>
      <c r="P209" s="5"/>
      <c r="Q209" s="5" t="str">
        <f>IFERROR(__xludf.DUMMYFUNCTION("""COMPUTED_VALUE"""),"no")</f>
        <v>no</v>
      </c>
      <c r="R209" s="5" t="str">
        <f>IFERROR(__xludf.DUMMYFUNCTION("""COMPUTED_VALUE"""),"HiFi")</f>
        <v>HiFi</v>
      </c>
      <c r="S209" s="8" t="str">
        <f>IFERROR(__xludf.DUMMYFUNCTION("""COMPUTED_VALUE"""),"hifiasm_v0.16.1_Canu_v2.1.15")</f>
        <v>hifiasm_v0.16.1_Canu_v2.1.15</v>
      </c>
      <c r="T209" s="6" t="str">
        <f>IFERROR(__xludf.DUMMYFUNCTION("""COMPUTED_VALUE"""),"Pool")</f>
        <v>Pool</v>
      </c>
      <c r="U209" s="6">
        <f>IFERROR(__xludf.DUMMYFUNCTION("""COMPUTED_VALUE"""),2024.0)</f>
        <v>2024</v>
      </c>
      <c r="V209" s="6" t="str">
        <f>IFERROR(__xludf.DUMMYFUNCTION("""COMPUTED_VALUE"""),"yes")</f>
        <v>yes</v>
      </c>
      <c r="W209" s="9" t="str">
        <f>IFERROR(__xludf.DUMMYFUNCTION("""COMPUTED_VALUE"""),"Lian")</f>
        <v>Lian</v>
      </c>
      <c r="X209" s="8" t="str">
        <f>IFERROR(__xludf.DUMMYFUNCTION("""COMPUTED_VALUE"""),"2024")</f>
        <v>2024</v>
      </c>
      <c r="Y209" s="8" t="str">
        <f>IFERROR(__xludf.DUMMYFUNCTION("""COMPUTED_VALUE"""),"NatGenet")</f>
        <v>NatGenet</v>
      </c>
      <c r="Z209" s="10" t="str">
        <f>IFERROR(__xludf.DUMMYFUNCTION("""COMPUTED_VALUE"""),"10.1038/s41588-024-01715-9")</f>
        <v>10.1038/s41588-024-01715-9</v>
      </c>
      <c r="AA209" s="10" t="str">
        <f>IFERROR(__xludf.DUMMYFUNCTION("""COMPUTED_VALUE"""),"https://www.nature.com/articles/s41588-024-01715-9")</f>
        <v>https://www.nature.com/articles/s41588-024-01715-9</v>
      </c>
      <c r="AB209" s="5"/>
    </row>
    <row r="210">
      <c r="A210" s="5">
        <f>IFERROR(__xludf.DUMMYFUNCTION("""COMPUTED_VALUE"""),100208.0)</f>
        <v>100208</v>
      </c>
      <c r="B210" s="8" t="str">
        <f>IFERROR(__xludf.DUMMYFUNCTION("""COMPUTED_VALUE"""),"Altai-5")</f>
        <v>Altai-5</v>
      </c>
      <c r="C210" s="5">
        <f>IFERROR(__xludf.DUMMYFUNCTION("""COMPUTED_VALUE"""),9758.0)</f>
        <v>9758</v>
      </c>
      <c r="D210" s="5"/>
      <c r="E210" s="5"/>
      <c r="F210" s="5">
        <f>IFERROR(__xludf.DUMMYFUNCTION("""COMPUTED_VALUE"""),1.0)</f>
        <v>1</v>
      </c>
      <c r="G210" s="5"/>
      <c r="H210" s="5"/>
      <c r="I210" s="5"/>
      <c r="J210" s="5"/>
      <c r="K210" s="5"/>
      <c r="L210" s="5"/>
      <c r="M210" s="5"/>
      <c r="N210" s="5">
        <f>IFERROR(__xludf.DUMMYFUNCTION("""COMPUTED_VALUE"""),18.0)</f>
        <v>18</v>
      </c>
      <c r="O210" s="5"/>
      <c r="P210" s="5"/>
      <c r="Q210" s="5" t="str">
        <f>IFERROR(__xludf.DUMMYFUNCTION("""COMPUTED_VALUE"""),"no")</f>
        <v>no</v>
      </c>
      <c r="R210" s="5" t="str">
        <f>IFERROR(__xludf.DUMMYFUNCTION("""COMPUTED_VALUE"""),"HiFi")</f>
        <v>HiFi</v>
      </c>
      <c r="S210" s="8" t="str">
        <f>IFERROR(__xludf.DUMMYFUNCTION("""COMPUTED_VALUE"""),"hifiasm_v0.16.1_Canu_v2.1.16")</f>
        <v>hifiasm_v0.16.1_Canu_v2.1.16</v>
      </c>
      <c r="T210" s="6" t="str">
        <f>IFERROR(__xludf.DUMMYFUNCTION("""COMPUTED_VALUE"""),"Pool")</f>
        <v>Pool</v>
      </c>
      <c r="U210" s="6">
        <f>IFERROR(__xludf.DUMMYFUNCTION("""COMPUTED_VALUE"""),2024.0)</f>
        <v>2024</v>
      </c>
      <c r="V210" s="6" t="str">
        <f>IFERROR(__xludf.DUMMYFUNCTION("""COMPUTED_VALUE"""),"yes")</f>
        <v>yes</v>
      </c>
      <c r="W210" s="9" t="str">
        <f>IFERROR(__xludf.DUMMYFUNCTION("""COMPUTED_VALUE"""),"Lian")</f>
        <v>Lian</v>
      </c>
      <c r="X210" s="8" t="str">
        <f>IFERROR(__xludf.DUMMYFUNCTION("""COMPUTED_VALUE"""),"2024")</f>
        <v>2024</v>
      </c>
      <c r="Y210" s="8" t="str">
        <f>IFERROR(__xludf.DUMMYFUNCTION("""COMPUTED_VALUE"""),"NatGenet")</f>
        <v>NatGenet</v>
      </c>
      <c r="Z210" s="10" t="str">
        <f>IFERROR(__xludf.DUMMYFUNCTION("""COMPUTED_VALUE"""),"10.1038/s41588-024-01715-9")</f>
        <v>10.1038/s41588-024-01715-9</v>
      </c>
      <c r="AA210" s="10" t="str">
        <f>IFERROR(__xludf.DUMMYFUNCTION("""COMPUTED_VALUE"""),"https://www.nature.com/articles/s41588-024-01715-9")</f>
        <v>https://www.nature.com/articles/s41588-024-01715-9</v>
      </c>
      <c r="AB210" s="5"/>
    </row>
    <row r="211">
      <c r="A211" s="5">
        <f>IFERROR(__xludf.DUMMYFUNCTION("""COMPUTED_VALUE"""),100209.0)</f>
        <v>100209</v>
      </c>
      <c r="B211" s="8" t="str">
        <f>IFERROR(__xludf.DUMMYFUNCTION("""COMPUTED_VALUE"""),"Kar-1")</f>
        <v>Kar-1</v>
      </c>
      <c r="C211" s="5">
        <f>IFERROR(__xludf.DUMMYFUNCTION("""COMPUTED_VALUE"""),763.0)</f>
        <v>763</v>
      </c>
      <c r="D211" s="5"/>
      <c r="E211" s="5">
        <f>IFERROR(__xludf.DUMMYFUNCTION("""COMPUTED_VALUE"""),100209.0)</f>
        <v>100209</v>
      </c>
      <c r="F211" s="5">
        <f>IFERROR(__xludf.DUMMYFUNCTION("""COMPUTED_VALUE"""),1.0)</f>
        <v>1</v>
      </c>
      <c r="G211" s="5"/>
      <c r="H211" s="5" t="b">
        <f>IFERROR(__xludf.DUMMYFUNCTION("""COMPUTED_VALUE"""),FALSE)</f>
        <v>0</v>
      </c>
      <c r="I211" s="5"/>
      <c r="J211" s="5"/>
      <c r="K211" s="5"/>
      <c r="L211" s="5"/>
      <c r="M211" s="5"/>
      <c r="N211" s="5">
        <f>IFERROR(__xludf.DUMMYFUNCTION("""COMPUTED_VALUE"""),24.0)</f>
        <v>24</v>
      </c>
      <c r="O211" s="5"/>
      <c r="P211" s="5"/>
      <c r="Q211" s="5" t="str">
        <f>IFERROR(__xludf.DUMMYFUNCTION("""COMPUTED_VALUE"""),"no")</f>
        <v>no</v>
      </c>
      <c r="R211" s="5" t="str">
        <f>IFERROR(__xludf.DUMMYFUNCTION("""COMPUTED_VALUE"""),"HiFi")</f>
        <v>HiFi</v>
      </c>
      <c r="S211" s="8" t="str">
        <f>IFERROR(__xludf.DUMMYFUNCTION("""COMPUTED_VALUE"""),"hifiasm_v0.16.1_Canu_v2.1.17")</f>
        <v>hifiasm_v0.16.1_Canu_v2.1.17</v>
      </c>
      <c r="T211" s="6" t="str">
        <f>IFERROR(__xludf.DUMMYFUNCTION("""COMPUTED_VALUE"""),"Pool")</f>
        <v>Pool</v>
      </c>
      <c r="U211" s="6">
        <f>IFERROR(__xludf.DUMMYFUNCTION("""COMPUTED_VALUE"""),2024.0)</f>
        <v>2024</v>
      </c>
      <c r="V211" s="6" t="str">
        <f>IFERROR(__xludf.DUMMYFUNCTION("""COMPUTED_VALUE"""),"yes")</f>
        <v>yes</v>
      </c>
      <c r="W211" s="9" t="str">
        <f>IFERROR(__xludf.DUMMYFUNCTION("""COMPUTED_VALUE"""),"Lian")</f>
        <v>Lian</v>
      </c>
      <c r="X211" s="8" t="str">
        <f>IFERROR(__xludf.DUMMYFUNCTION("""COMPUTED_VALUE"""),"2024")</f>
        <v>2024</v>
      </c>
      <c r="Y211" s="8" t="str">
        <f>IFERROR(__xludf.DUMMYFUNCTION("""COMPUTED_VALUE"""),"NatGenet")</f>
        <v>NatGenet</v>
      </c>
      <c r="Z211" s="10" t="str">
        <f>IFERROR(__xludf.DUMMYFUNCTION("""COMPUTED_VALUE"""),"10.1038/s41588-024-01715-9")</f>
        <v>10.1038/s41588-024-01715-9</v>
      </c>
      <c r="AA211" s="10" t="str">
        <f>IFERROR(__xludf.DUMMYFUNCTION("""COMPUTED_VALUE"""),"https://www.nature.com/articles/s41588-024-01715-9")</f>
        <v>https://www.nature.com/articles/s41588-024-01715-9</v>
      </c>
      <c r="AB211" s="5"/>
    </row>
    <row r="212">
      <c r="A212" s="5">
        <f>IFERROR(__xludf.DUMMYFUNCTION("""COMPUTED_VALUE"""),100210.0)</f>
        <v>100210</v>
      </c>
      <c r="B212" s="5" t="str">
        <f>IFERROR(__xludf.DUMMYFUNCTION("""COMPUTED_VALUE"""),"RRS-10")</f>
        <v>RRS-10</v>
      </c>
      <c r="C212" s="5">
        <f>IFERROR(__xludf.DUMMYFUNCTION("""COMPUTED_VALUE"""),7515.0)</f>
        <v>7515</v>
      </c>
      <c r="D212" s="5"/>
      <c r="E212" s="5">
        <f>IFERROR(__xludf.DUMMYFUNCTION("""COMPUTED_VALUE"""),100210.0)</f>
        <v>100210</v>
      </c>
      <c r="F212" s="5">
        <f>IFERROR(__xludf.DUMMYFUNCTION("""COMPUTED_VALUE"""),1.0)</f>
        <v>1</v>
      </c>
      <c r="G212" s="5"/>
      <c r="H212" s="5" t="b">
        <f>IFERROR(__xludf.DUMMYFUNCTION("""COMPUTED_VALUE"""),FALSE)</f>
        <v>0</v>
      </c>
      <c r="I212" s="5"/>
      <c r="J212" s="5"/>
      <c r="K212" s="5"/>
      <c r="L212" s="5"/>
      <c r="M212" s="5"/>
      <c r="N212" s="5">
        <f>IFERROR(__xludf.DUMMYFUNCTION("""COMPUTED_VALUE"""),16.0)</f>
        <v>16</v>
      </c>
      <c r="O212" s="5"/>
      <c r="P212" s="5"/>
      <c r="Q212" s="5" t="str">
        <f>IFERROR(__xludf.DUMMYFUNCTION("""COMPUTED_VALUE"""),"no")</f>
        <v>no</v>
      </c>
      <c r="R212" s="5" t="str">
        <f>IFERROR(__xludf.DUMMYFUNCTION("""COMPUTED_VALUE"""),"HiFi")</f>
        <v>HiFi</v>
      </c>
      <c r="S212" s="8" t="str">
        <f>IFERROR(__xludf.DUMMYFUNCTION("""COMPUTED_VALUE"""),"hifiasm_v0.16.1_Canu_v2.1.18")</f>
        <v>hifiasm_v0.16.1_Canu_v2.1.18</v>
      </c>
      <c r="T212" s="6" t="str">
        <f>IFERROR(__xludf.DUMMYFUNCTION("""COMPUTED_VALUE"""),"Pool")</f>
        <v>Pool</v>
      </c>
      <c r="U212" s="6">
        <f>IFERROR(__xludf.DUMMYFUNCTION("""COMPUTED_VALUE"""),2024.0)</f>
        <v>2024</v>
      </c>
      <c r="V212" s="6" t="str">
        <f>IFERROR(__xludf.DUMMYFUNCTION("""COMPUTED_VALUE"""),"yes")</f>
        <v>yes</v>
      </c>
      <c r="W212" s="9" t="str">
        <f>IFERROR(__xludf.DUMMYFUNCTION("""COMPUTED_VALUE"""),"Lian")</f>
        <v>Lian</v>
      </c>
      <c r="X212" s="8" t="str">
        <f>IFERROR(__xludf.DUMMYFUNCTION("""COMPUTED_VALUE"""),"2024")</f>
        <v>2024</v>
      </c>
      <c r="Y212" s="8" t="str">
        <f>IFERROR(__xludf.DUMMYFUNCTION("""COMPUTED_VALUE"""),"NatGenet")</f>
        <v>NatGenet</v>
      </c>
      <c r="Z212" s="10" t="str">
        <f>IFERROR(__xludf.DUMMYFUNCTION("""COMPUTED_VALUE"""),"10.1038/s41588-024-01715-9")</f>
        <v>10.1038/s41588-024-01715-9</v>
      </c>
      <c r="AA212" s="10" t="str">
        <f>IFERROR(__xludf.DUMMYFUNCTION("""COMPUTED_VALUE"""),"https://www.nature.com/articles/s41588-024-01715-9")</f>
        <v>https://www.nature.com/articles/s41588-024-01715-9</v>
      </c>
      <c r="AB212" s="5"/>
    </row>
    <row r="213">
      <c r="A213" s="5">
        <f>IFERROR(__xludf.DUMMYFUNCTION("""COMPUTED_VALUE"""),100211.0)</f>
        <v>100211</v>
      </c>
      <c r="B213" s="8" t="str">
        <f>IFERROR(__xludf.DUMMYFUNCTION("""COMPUTED_VALUE"""),"Rubezhnoe-1")</f>
        <v>Rubezhnoe-1</v>
      </c>
      <c r="C213" s="5">
        <f>IFERROR(__xludf.DUMMYFUNCTION("""COMPUTED_VALUE"""),7323.0)</f>
        <v>7323</v>
      </c>
      <c r="D213" s="5"/>
      <c r="E213" s="5">
        <f>IFERROR(__xludf.DUMMYFUNCTION("""COMPUTED_VALUE"""),100211.0)</f>
        <v>100211</v>
      </c>
      <c r="F213" s="5">
        <f>IFERROR(__xludf.DUMMYFUNCTION("""COMPUTED_VALUE"""),1.0)</f>
        <v>1</v>
      </c>
      <c r="G213" s="5"/>
      <c r="H213" s="5" t="b">
        <f>IFERROR(__xludf.DUMMYFUNCTION("""COMPUTED_VALUE"""),FALSE)</f>
        <v>0</v>
      </c>
      <c r="I213" s="5"/>
      <c r="J213" s="5"/>
      <c r="K213" s="5"/>
      <c r="L213" s="5"/>
      <c r="M213" s="5"/>
      <c r="N213" s="5">
        <f>IFERROR(__xludf.DUMMYFUNCTION("""COMPUTED_VALUE"""),25.0)</f>
        <v>25</v>
      </c>
      <c r="O213" s="5"/>
      <c r="P213" s="5"/>
      <c r="Q213" s="5" t="str">
        <f>IFERROR(__xludf.DUMMYFUNCTION("""COMPUTED_VALUE"""),"no")</f>
        <v>no</v>
      </c>
      <c r="R213" s="5" t="str">
        <f>IFERROR(__xludf.DUMMYFUNCTION("""COMPUTED_VALUE"""),"HiFi")</f>
        <v>HiFi</v>
      </c>
      <c r="S213" s="8" t="str">
        <f>IFERROR(__xludf.DUMMYFUNCTION("""COMPUTED_VALUE"""),"hifiasm_v0.16.1_Canu_v2.1.19")</f>
        <v>hifiasm_v0.16.1_Canu_v2.1.19</v>
      </c>
      <c r="T213" s="6" t="str">
        <f>IFERROR(__xludf.DUMMYFUNCTION("""COMPUTED_VALUE"""),"Pool")</f>
        <v>Pool</v>
      </c>
      <c r="U213" s="6">
        <f>IFERROR(__xludf.DUMMYFUNCTION("""COMPUTED_VALUE"""),2024.0)</f>
        <v>2024</v>
      </c>
      <c r="V213" s="6" t="str">
        <f>IFERROR(__xludf.DUMMYFUNCTION("""COMPUTED_VALUE"""),"yes")</f>
        <v>yes</v>
      </c>
      <c r="W213" s="9" t="str">
        <f>IFERROR(__xludf.DUMMYFUNCTION("""COMPUTED_VALUE"""),"Lian")</f>
        <v>Lian</v>
      </c>
      <c r="X213" s="8" t="str">
        <f>IFERROR(__xludf.DUMMYFUNCTION("""COMPUTED_VALUE"""),"2024")</f>
        <v>2024</v>
      </c>
      <c r="Y213" s="8" t="str">
        <f>IFERROR(__xludf.DUMMYFUNCTION("""COMPUTED_VALUE"""),"NatGenet")</f>
        <v>NatGenet</v>
      </c>
      <c r="Z213" s="10" t="str">
        <f>IFERROR(__xludf.DUMMYFUNCTION("""COMPUTED_VALUE"""),"10.1038/s41588-024-01715-9")</f>
        <v>10.1038/s41588-024-01715-9</v>
      </c>
      <c r="AA213" s="10" t="str">
        <f>IFERROR(__xludf.DUMMYFUNCTION("""COMPUTED_VALUE"""),"https://www.nature.com/articles/s41588-024-01715-9")</f>
        <v>https://www.nature.com/articles/s41588-024-01715-9</v>
      </c>
      <c r="AB213" s="5"/>
    </row>
    <row r="214">
      <c r="A214" s="5">
        <f>IFERROR(__xludf.DUMMYFUNCTION("""COMPUTED_VALUE"""),100212.0)</f>
        <v>100212</v>
      </c>
      <c r="B214" s="8" t="str">
        <f>IFERROR(__xludf.DUMMYFUNCTION("""COMPUTED_VALUE"""),"Sah-0")</f>
        <v>Sah-0</v>
      </c>
      <c r="C214" s="5">
        <f>IFERROR(__xludf.DUMMYFUNCTION("""COMPUTED_VALUE"""),7338.0)</f>
        <v>7338</v>
      </c>
      <c r="D214" s="5"/>
      <c r="E214" s="5">
        <f>IFERROR(__xludf.DUMMYFUNCTION("""COMPUTED_VALUE"""),100212.0)</f>
        <v>100212</v>
      </c>
      <c r="F214" s="5">
        <f>IFERROR(__xludf.DUMMYFUNCTION("""COMPUTED_VALUE"""),1.0)</f>
        <v>1</v>
      </c>
      <c r="G214" s="5"/>
      <c r="H214" s="5" t="b">
        <f>IFERROR(__xludf.DUMMYFUNCTION("""COMPUTED_VALUE"""),FALSE)</f>
        <v>0</v>
      </c>
      <c r="I214" s="5"/>
      <c r="J214" s="5"/>
      <c r="K214" s="5"/>
      <c r="L214" s="5"/>
      <c r="M214" s="5"/>
      <c r="N214" s="5">
        <f>IFERROR(__xludf.DUMMYFUNCTION("""COMPUTED_VALUE"""),19.0)</f>
        <v>19</v>
      </c>
      <c r="O214" s="5"/>
      <c r="P214" s="5"/>
      <c r="Q214" s="5" t="str">
        <f>IFERROR(__xludf.DUMMYFUNCTION("""COMPUTED_VALUE"""),"no")</f>
        <v>no</v>
      </c>
      <c r="R214" s="5" t="str">
        <f>IFERROR(__xludf.DUMMYFUNCTION("""COMPUTED_VALUE"""),"HiFi")</f>
        <v>HiFi</v>
      </c>
      <c r="S214" s="8" t="str">
        <f>IFERROR(__xludf.DUMMYFUNCTION("""COMPUTED_VALUE"""),"hifiasm_v0.16.1_Canu_v2.1.20")</f>
        <v>hifiasm_v0.16.1_Canu_v2.1.20</v>
      </c>
      <c r="T214" s="6" t="str">
        <f>IFERROR(__xludf.DUMMYFUNCTION("""COMPUTED_VALUE"""),"Pool")</f>
        <v>Pool</v>
      </c>
      <c r="U214" s="6">
        <f>IFERROR(__xludf.DUMMYFUNCTION("""COMPUTED_VALUE"""),2024.0)</f>
        <v>2024</v>
      </c>
      <c r="V214" s="6" t="str">
        <f>IFERROR(__xludf.DUMMYFUNCTION("""COMPUTED_VALUE"""),"yes")</f>
        <v>yes</v>
      </c>
      <c r="W214" s="9" t="str">
        <f>IFERROR(__xludf.DUMMYFUNCTION("""COMPUTED_VALUE"""),"Lian")</f>
        <v>Lian</v>
      </c>
      <c r="X214" s="8" t="str">
        <f>IFERROR(__xludf.DUMMYFUNCTION("""COMPUTED_VALUE"""),"2024")</f>
        <v>2024</v>
      </c>
      <c r="Y214" s="8" t="str">
        <f>IFERROR(__xludf.DUMMYFUNCTION("""COMPUTED_VALUE"""),"NatGenet")</f>
        <v>NatGenet</v>
      </c>
      <c r="Z214" s="10" t="str">
        <f>IFERROR(__xludf.DUMMYFUNCTION("""COMPUTED_VALUE"""),"10.1038/s41588-024-01715-9")</f>
        <v>10.1038/s41588-024-01715-9</v>
      </c>
      <c r="AA214" s="10" t="str">
        <f>IFERROR(__xludf.DUMMYFUNCTION("""COMPUTED_VALUE"""),"https://www.nature.com/articles/s41588-024-01715-9")</f>
        <v>https://www.nature.com/articles/s41588-024-01715-9</v>
      </c>
      <c r="AB214" s="5"/>
    </row>
    <row r="215">
      <c r="A215" s="5">
        <f>IFERROR(__xludf.DUMMYFUNCTION("""COMPUTED_VALUE"""),100213.0)</f>
        <v>100213</v>
      </c>
      <c r="B215" s="8" t="str">
        <f>IFERROR(__xludf.DUMMYFUNCTION("""COMPUTED_VALUE"""),"Sus-1")</f>
        <v>Sus-1</v>
      </c>
      <c r="C215" s="5">
        <f>IFERROR(__xludf.DUMMYFUNCTION("""COMPUTED_VALUE"""),765.0)</f>
        <v>765</v>
      </c>
      <c r="D215" s="5"/>
      <c r="E215" s="5"/>
      <c r="F215" s="5">
        <f>IFERROR(__xludf.DUMMYFUNCTION("""COMPUTED_VALUE"""),1.0)</f>
        <v>1</v>
      </c>
      <c r="G215" s="5"/>
      <c r="H215" s="5"/>
      <c r="I215" s="5"/>
      <c r="J215" s="5"/>
      <c r="K215" s="5"/>
      <c r="L215" s="5"/>
      <c r="M215" s="5"/>
      <c r="N215" s="5">
        <f>IFERROR(__xludf.DUMMYFUNCTION("""COMPUTED_VALUE"""),26.0)</f>
        <v>26</v>
      </c>
      <c r="O215" s="5"/>
      <c r="P215" s="5"/>
      <c r="Q215" s="5" t="str">
        <f>IFERROR(__xludf.DUMMYFUNCTION("""COMPUTED_VALUE"""),"no")</f>
        <v>no</v>
      </c>
      <c r="R215" s="5" t="str">
        <f>IFERROR(__xludf.DUMMYFUNCTION("""COMPUTED_VALUE"""),"HiFi")</f>
        <v>HiFi</v>
      </c>
      <c r="S215" s="8" t="str">
        <f>IFERROR(__xludf.DUMMYFUNCTION("""COMPUTED_VALUE"""),"hifiasm_v0.16.1_Canu_v2.1.21")</f>
        <v>hifiasm_v0.16.1_Canu_v2.1.21</v>
      </c>
      <c r="T215" s="6" t="str">
        <f>IFERROR(__xludf.DUMMYFUNCTION("""COMPUTED_VALUE"""),"Pool")</f>
        <v>Pool</v>
      </c>
      <c r="U215" s="6">
        <f>IFERROR(__xludf.DUMMYFUNCTION("""COMPUTED_VALUE"""),2024.0)</f>
        <v>2024</v>
      </c>
      <c r="V215" s="6" t="str">
        <f>IFERROR(__xludf.DUMMYFUNCTION("""COMPUTED_VALUE"""),"yes")</f>
        <v>yes</v>
      </c>
      <c r="W215" s="9" t="str">
        <f>IFERROR(__xludf.DUMMYFUNCTION("""COMPUTED_VALUE"""),"Lian")</f>
        <v>Lian</v>
      </c>
      <c r="X215" s="8" t="str">
        <f>IFERROR(__xludf.DUMMYFUNCTION("""COMPUTED_VALUE"""),"2024")</f>
        <v>2024</v>
      </c>
      <c r="Y215" s="8" t="str">
        <f>IFERROR(__xludf.DUMMYFUNCTION("""COMPUTED_VALUE"""),"NatGenet")</f>
        <v>NatGenet</v>
      </c>
      <c r="Z215" s="10" t="str">
        <f>IFERROR(__xludf.DUMMYFUNCTION("""COMPUTED_VALUE"""),"10.1038/s41588-024-01715-9")</f>
        <v>10.1038/s41588-024-01715-9</v>
      </c>
      <c r="AA215" s="10" t="str">
        <f>IFERROR(__xludf.DUMMYFUNCTION("""COMPUTED_VALUE"""),"https://www.nature.com/articles/s41588-024-01715-9")</f>
        <v>https://www.nature.com/articles/s41588-024-01715-9</v>
      </c>
      <c r="AB215" s="5"/>
    </row>
    <row r="216">
      <c r="A216" s="5">
        <f>IFERROR(__xludf.DUMMYFUNCTION("""COMPUTED_VALUE"""),100214.0)</f>
        <v>100214</v>
      </c>
      <c r="B216" s="8" t="str">
        <f>IFERROR(__xludf.DUMMYFUNCTION("""COMPUTED_VALUE"""),"Zal-1")</f>
        <v>Zal-1</v>
      </c>
      <c r="C216" s="5">
        <f>IFERROR(__xludf.DUMMYFUNCTION("""COMPUTED_VALUE"""),768.0)</f>
        <v>768</v>
      </c>
      <c r="D216" s="5"/>
      <c r="E216" s="5">
        <f>IFERROR(__xludf.DUMMYFUNCTION("""COMPUTED_VALUE"""),100214.0)</f>
        <v>100214</v>
      </c>
      <c r="F216" s="5">
        <f>IFERROR(__xludf.DUMMYFUNCTION("""COMPUTED_VALUE"""),1.0)</f>
        <v>1</v>
      </c>
      <c r="G216" s="5"/>
      <c r="H216" s="5" t="b">
        <f>IFERROR(__xludf.DUMMYFUNCTION("""COMPUTED_VALUE"""),FALSE)</f>
        <v>0</v>
      </c>
      <c r="I216" s="5"/>
      <c r="J216" s="5"/>
      <c r="K216" s="5"/>
      <c r="L216" s="5"/>
      <c r="M216" s="5"/>
      <c r="N216" s="5">
        <f>IFERROR(__xludf.DUMMYFUNCTION("""COMPUTED_VALUE"""),24.0)</f>
        <v>24</v>
      </c>
      <c r="O216" s="5"/>
      <c r="P216" s="5"/>
      <c r="Q216" s="5" t="str">
        <f>IFERROR(__xludf.DUMMYFUNCTION("""COMPUTED_VALUE"""),"no")</f>
        <v>no</v>
      </c>
      <c r="R216" s="5" t="str">
        <f>IFERROR(__xludf.DUMMYFUNCTION("""COMPUTED_VALUE"""),"HiFi")</f>
        <v>HiFi</v>
      </c>
      <c r="S216" s="8" t="str">
        <f>IFERROR(__xludf.DUMMYFUNCTION("""COMPUTED_VALUE"""),"hifiasm_v0.16.1_Canu_v2.1.22")</f>
        <v>hifiasm_v0.16.1_Canu_v2.1.22</v>
      </c>
      <c r="T216" s="6" t="str">
        <f>IFERROR(__xludf.DUMMYFUNCTION("""COMPUTED_VALUE"""),"Pool")</f>
        <v>Pool</v>
      </c>
      <c r="U216" s="6">
        <f>IFERROR(__xludf.DUMMYFUNCTION("""COMPUTED_VALUE"""),2024.0)</f>
        <v>2024</v>
      </c>
      <c r="V216" s="6" t="str">
        <f>IFERROR(__xludf.DUMMYFUNCTION("""COMPUTED_VALUE"""),"yes")</f>
        <v>yes</v>
      </c>
      <c r="W216" s="9" t="str">
        <f>IFERROR(__xludf.DUMMYFUNCTION("""COMPUTED_VALUE"""),"Lian")</f>
        <v>Lian</v>
      </c>
      <c r="X216" s="8" t="str">
        <f>IFERROR(__xludf.DUMMYFUNCTION("""COMPUTED_VALUE"""),"2024")</f>
        <v>2024</v>
      </c>
      <c r="Y216" s="8" t="str">
        <f>IFERROR(__xludf.DUMMYFUNCTION("""COMPUTED_VALUE"""),"NatGenet")</f>
        <v>NatGenet</v>
      </c>
      <c r="Z216" s="10" t="str">
        <f>IFERROR(__xludf.DUMMYFUNCTION("""COMPUTED_VALUE"""),"10.1038/s41588-024-01715-9")</f>
        <v>10.1038/s41588-024-01715-9</v>
      </c>
      <c r="AA216" s="10" t="str">
        <f>IFERROR(__xludf.DUMMYFUNCTION("""COMPUTED_VALUE"""),"https://www.nature.com/articles/s41588-024-01715-9")</f>
        <v>https://www.nature.com/articles/s41588-024-01715-9</v>
      </c>
      <c r="AB216" s="5"/>
    </row>
    <row r="217">
      <c r="A217" s="5">
        <f>IFERROR(__xludf.DUMMYFUNCTION("""COMPUTED_VALUE"""),100215.0)</f>
        <v>100215</v>
      </c>
      <c r="B217" s="8" t="str">
        <f>IFERROR(__xludf.DUMMYFUNCTION("""COMPUTED_VALUE"""),"Edi-0")</f>
        <v>Edi-0</v>
      </c>
      <c r="C217" s="5">
        <f>IFERROR(__xludf.DUMMYFUNCTION("""COMPUTED_VALUE"""),7111.0)</f>
        <v>7111</v>
      </c>
      <c r="D217" s="5"/>
      <c r="E217" s="5">
        <f>IFERROR(__xludf.DUMMYFUNCTION("""COMPUTED_VALUE"""),100215.0)</f>
        <v>100215</v>
      </c>
      <c r="F217" s="5">
        <f>IFERROR(__xludf.DUMMYFUNCTION("""COMPUTED_VALUE"""),1.0)</f>
        <v>1</v>
      </c>
      <c r="G217" s="5"/>
      <c r="H217" s="5" t="b">
        <f>IFERROR(__xludf.DUMMYFUNCTION("""COMPUTED_VALUE"""),FALSE)</f>
        <v>0</v>
      </c>
      <c r="I217" s="5"/>
      <c r="J217" s="5"/>
      <c r="K217" s="5"/>
      <c r="L217" s="5"/>
      <c r="M217" s="5"/>
      <c r="N217" s="5">
        <f>IFERROR(__xludf.DUMMYFUNCTION("""COMPUTED_VALUE"""),15.0)</f>
        <v>15</v>
      </c>
      <c r="O217" s="5"/>
      <c r="P217" s="5"/>
      <c r="Q217" s="5" t="str">
        <f>IFERROR(__xludf.DUMMYFUNCTION("""COMPUTED_VALUE"""),"no")</f>
        <v>no</v>
      </c>
      <c r="R217" s="5" t="str">
        <f>IFERROR(__xludf.DUMMYFUNCTION("""COMPUTED_VALUE"""),"HiFi")</f>
        <v>HiFi</v>
      </c>
      <c r="S217" s="8" t="str">
        <f>IFERROR(__xludf.DUMMYFUNCTION("""COMPUTED_VALUE"""),"hifiasm_v0.16.1_Canu_v2.1.23")</f>
        <v>hifiasm_v0.16.1_Canu_v2.1.23</v>
      </c>
      <c r="T217" s="6" t="str">
        <f>IFERROR(__xludf.DUMMYFUNCTION("""COMPUTED_VALUE"""),"Pool")</f>
        <v>Pool</v>
      </c>
      <c r="U217" s="6">
        <f>IFERROR(__xludf.DUMMYFUNCTION("""COMPUTED_VALUE"""),2024.0)</f>
        <v>2024</v>
      </c>
      <c r="V217" s="6" t="str">
        <f>IFERROR(__xludf.DUMMYFUNCTION("""COMPUTED_VALUE"""),"yes")</f>
        <v>yes</v>
      </c>
      <c r="W217" s="9" t="str">
        <f>IFERROR(__xludf.DUMMYFUNCTION("""COMPUTED_VALUE"""),"Lian")</f>
        <v>Lian</v>
      </c>
      <c r="X217" s="8" t="str">
        <f>IFERROR(__xludf.DUMMYFUNCTION("""COMPUTED_VALUE"""),"2024")</f>
        <v>2024</v>
      </c>
      <c r="Y217" s="8" t="str">
        <f>IFERROR(__xludf.DUMMYFUNCTION("""COMPUTED_VALUE"""),"NatGenet")</f>
        <v>NatGenet</v>
      </c>
      <c r="Z217" s="10" t="str">
        <f>IFERROR(__xludf.DUMMYFUNCTION("""COMPUTED_VALUE"""),"10.1038/s41588-024-01715-9")</f>
        <v>10.1038/s41588-024-01715-9</v>
      </c>
      <c r="AA217" s="10" t="str">
        <f>IFERROR(__xludf.DUMMYFUNCTION("""COMPUTED_VALUE"""),"https://www.nature.com/articles/s41588-024-01715-9")</f>
        <v>https://www.nature.com/articles/s41588-024-01715-9</v>
      </c>
      <c r="AB217" s="5"/>
    </row>
    <row r="218">
      <c r="A218" s="5">
        <f>IFERROR(__xludf.DUMMYFUNCTION("""COMPUTED_VALUE"""),100216.0)</f>
        <v>100216</v>
      </c>
      <c r="B218" s="8" t="str">
        <f>IFERROR(__xludf.DUMMYFUNCTION("""COMPUTED_VALUE"""),"Elh-2")</f>
        <v>Elh-2</v>
      </c>
      <c r="C218" s="5">
        <f>IFERROR(__xludf.DUMMYFUNCTION("""COMPUTED_VALUE"""),22004.0)</f>
        <v>22004</v>
      </c>
      <c r="D218" s="5"/>
      <c r="E218" s="5">
        <f>IFERROR(__xludf.DUMMYFUNCTION("""COMPUTED_VALUE"""),100216.0)</f>
        <v>100216</v>
      </c>
      <c r="F218" s="5">
        <f>IFERROR(__xludf.DUMMYFUNCTION("""COMPUTED_VALUE"""),1.0)</f>
        <v>1</v>
      </c>
      <c r="G218" s="5"/>
      <c r="H218" s="5" t="b">
        <f>IFERROR(__xludf.DUMMYFUNCTION("""COMPUTED_VALUE"""),FALSE)</f>
        <v>0</v>
      </c>
      <c r="I218" s="5"/>
      <c r="J218" s="5"/>
      <c r="K218" s="5"/>
      <c r="L218" s="5"/>
      <c r="M218" s="5"/>
      <c r="N218" s="5">
        <f>IFERROR(__xludf.DUMMYFUNCTION("""COMPUTED_VALUE"""),19.0)</f>
        <v>19</v>
      </c>
      <c r="O218" s="5"/>
      <c r="P218" s="5"/>
      <c r="Q218" s="5" t="str">
        <f>IFERROR(__xludf.DUMMYFUNCTION("""COMPUTED_VALUE"""),"no")</f>
        <v>no</v>
      </c>
      <c r="R218" s="5" t="str">
        <f>IFERROR(__xludf.DUMMYFUNCTION("""COMPUTED_VALUE"""),"HiFi")</f>
        <v>HiFi</v>
      </c>
      <c r="S218" s="8" t="str">
        <f>IFERROR(__xludf.DUMMYFUNCTION("""COMPUTED_VALUE"""),"hifiasm_v0.16.1_Canu_v2.1.24")</f>
        <v>hifiasm_v0.16.1_Canu_v2.1.24</v>
      </c>
      <c r="T218" s="6" t="str">
        <f>IFERROR(__xludf.DUMMYFUNCTION("""COMPUTED_VALUE"""),"Pool")</f>
        <v>Pool</v>
      </c>
      <c r="U218" s="6">
        <f>IFERROR(__xludf.DUMMYFUNCTION("""COMPUTED_VALUE"""),2024.0)</f>
        <v>2024</v>
      </c>
      <c r="V218" s="6" t="str">
        <f>IFERROR(__xludf.DUMMYFUNCTION("""COMPUTED_VALUE"""),"yes")</f>
        <v>yes</v>
      </c>
      <c r="W218" s="9" t="str">
        <f>IFERROR(__xludf.DUMMYFUNCTION("""COMPUTED_VALUE"""),"Lian")</f>
        <v>Lian</v>
      </c>
      <c r="X218" s="8" t="str">
        <f>IFERROR(__xludf.DUMMYFUNCTION("""COMPUTED_VALUE"""),"2024")</f>
        <v>2024</v>
      </c>
      <c r="Y218" s="8" t="str">
        <f>IFERROR(__xludf.DUMMYFUNCTION("""COMPUTED_VALUE"""),"NatGenet")</f>
        <v>NatGenet</v>
      </c>
      <c r="Z218" s="10" t="str">
        <f>IFERROR(__xludf.DUMMYFUNCTION("""COMPUTED_VALUE"""),"10.1038/s41588-024-01715-9")</f>
        <v>10.1038/s41588-024-01715-9</v>
      </c>
      <c r="AA218" s="10" t="str">
        <f>IFERROR(__xludf.DUMMYFUNCTION("""COMPUTED_VALUE"""),"https://www.nature.com/articles/s41588-024-01715-9")</f>
        <v>https://www.nature.com/articles/s41588-024-01715-9</v>
      </c>
      <c r="AB218" s="5"/>
    </row>
    <row r="219">
      <c r="A219" s="5">
        <f>IFERROR(__xludf.DUMMYFUNCTION("""COMPUTED_VALUE"""),100217.0)</f>
        <v>100217</v>
      </c>
      <c r="B219" s="8" t="str">
        <f>IFERROR(__xludf.DUMMYFUNCTION("""COMPUTED_VALUE"""),"Etna-2")</f>
        <v>Etna-2</v>
      </c>
      <c r="C219" s="5">
        <f>IFERROR(__xludf.DUMMYFUNCTION("""COMPUTED_VALUE"""),9762.0)</f>
        <v>9762</v>
      </c>
      <c r="D219" s="5"/>
      <c r="E219" s="5">
        <f>IFERROR(__xludf.DUMMYFUNCTION("""COMPUTED_VALUE"""),100217.0)</f>
        <v>100217</v>
      </c>
      <c r="F219" s="5">
        <f>IFERROR(__xludf.DUMMYFUNCTION("""COMPUTED_VALUE"""),1.0)</f>
        <v>1</v>
      </c>
      <c r="G219" s="5"/>
      <c r="H219" s="5" t="b">
        <f>IFERROR(__xludf.DUMMYFUNCTION("""COMPUTED_VALUE"""),FALSE)</f>
        <v>0</v>
      </c>
      <c r="I219" s="5"/>
      <c r="J219" s="5"/>
      <c r="K219" s="5"/>
      <c r="L219" s="5"/>
      <c r="M219" s="5"/>
      <c r="N219" s="5">
        <f>IFERROR(__xludf.DUMMYFUNCTION("""COMPUTED_VALUE"""),21.0)</f>
        <v>21</v>
      </c>
      <c r="O219" s="5"/>
      <c r="P219" s="5"/>
      <c r="Q219" s="5" t="str">
        <f>IFERROR(__xludf.DUMMYFUNCTION("""COMPUTED_VALUE"""),"no")</f>
        <v>no</v>
      </c>
      <c r="R219" s="5" t="str">
        <f>IFERROR(__xludf.DUMMYFUNCTION("""COMPUTED_VALUE"""),"HiFi")</f>
        <v>HiFi</v>
      </c>
      <c r="S219" s="8" t="str">
        <f>IFERROR(__xludf.DUMMYFUNCTION("""COMPUTED_VALUE"""),"hifiasm_v0.16.1_Canu_v2.1.25")</f>
        <v>hifiasm_v0.16.1_Canu_v2.1.25</v>
      </c>
      <c r="T219" s="6" t="str">
        <f>IFERROR(__xludf.DUMMYFUNCTION("""COMPUTED_VALUE"""),"Pool")</f>
        <v>Pool</v>
      </c>
      <c r="U219" s="6">
        <f>IFERROR(__xludf.DUMMYFUNCTION("""COMPUTED_VALUE"""),2024.0)</f>
        <v>2024</v>
      </c>
      <c r="V219" s="6" t="str">
        <f>IFERROR(__xludf.DUMMYFUNCTION("""COMPUTED_VALUE"""),"yes")</f>
        <v>yes</v>
      </c>
      <c r="W219" s="9" t="str">
        <f>IFERROR(__xludf.DUMMYFUNCTION("""COMPUTED_VALUE"""),"Lian")</f>
        <v>Lian</v>
      </c>
      <c r="X219" s="8" t="str">
        <f>IFERROR(__xludf.DUMMYFUNCTION("""COMPUTED_VALUE"""),"2024")</f>
        <v>2024</v>
      </c>
      <c r="Y219" s="8" t="str">
        <f>IFERROR(__xludf.DUMMYFUNCTION("""COMPUTED_VALUE"""),"NatGenet")</f>
        <v>NatGenet</v>
      </c>
      <c r="Z219" s="10" t="str">
        <f>IFERROR(__xludf.DUMMYFUNCTION("""COMPUTED_VALUE"""),"10.1038/s41588-024-01715-9")</f>
        <v>10.1038/s41588-024-01715-9</v>
      </c>
      <c r="AA219" s="10" t="str">
        <f>IFERROR(__xludf.DUMMYFUNCTION("""COMPUTED_VALUE"""),"https://www.nature.com/articles/s41588-024-01715-9")</f>
        <v>https://www.nature.com/articles/s41588-024-01715-9</v>
      </c>
      <c r="AB219" s="5"/>
    </row>
    <row r="220">
      <c r="A220" s="5">
        <f>IFERROR(__xludf.DUMMYFUNCTION("""COMPUTED_VALUE"""),100218.0)</f>
        <v>100218</v>
      </c>
      <c r="B220" s="8" t="str">
        <f>IFERROR(__xludf.DUMMYFUNCTION("""COMPUTED_VALUE"""),"N13")</f>
        <v>N13</v>
      </c>
      <c r="C220" s="5">
        <f>IFERROR(__xludf.DUMMYFUNCTION("""COMPUTED_VALUE"""),7438.0)</f>
        <v>7438</v>
      </c>
      <c r="D220" s="5"/>
      <c r="E220" s="5">
        <f>IFERROR(__xludf.DUMMYFUNCTION("""COMPUTED_VALUE"""),100218.0)</f>
        <v>100218</v>
      </c>
      <c r="F220" s="5">
        <f>IFERROR(__xludf.DUMMYFUNCTION("""COMPUTED_VALUE"""),1.0)</f>
        <v>1</v>
      </c>
      <c r="G220" s="5"/>
      <c r="H220" s="5" t="b">
        <f>IFERROR(__xludf.DUMMYFUNCTION("""COMPUTED_VALUE"""),FALSE)</f>
        <v>0</v>
      </c>
      <c r="I220" s="5"/>
      <c r="J220" s="5"/>
      <c r="K220" s="5"/>
      <c r="L220" s="5"/>
      <c r="M220" s="5"/>
      <c r="N220" s="5">
        <f>IFERROR(__xludf.DUMMYFUNCTION("""COMPUTED_VALUE"""),16.0)</f>
        <v>16</v>
      </c>
      <c r="O220" s="5"/>
      <c r="P220" s="5"/>
      <c r="Q220" s="5" t="str">
        <f>IFERROR(__xludf.DUMMYFUNCTION("""COMPUTED_VALUE"""),"no")</f>
        <v>no</v>
      </c>
      <c r="R220" s="5" t="str">
        <f>IFERROR(__xludf.DUMMYFUNCTION("""COMPUTED_VALUE"""),"HiFi")</f>
        <v>HiFi</v>
      </c>
      <c r="S220" s="8" t="str">
        <f>IFERROR(__xludf.DUMMYFUNCTION("""COMPUTED_VALUE"""),"hifiasm_v0.16.1_Canu_v2.1.26")</f>
        <v>hifiasm_v0.16.1_Canu_v2.1.26</v>
      </c>
      <c r="T220" s="6" t="str">
        <f>IFERROR(__xludf.DUMMYFUNCTION("""COMPUTED_VALUE"""),"Pool")</f>
        <v>Pool</v>
      </c>
      <c r="U220" s="6">
        <f>IFERROR(__xludf.DUMMYFUNCTION("""COMPUTED_VALUE"""),2024.0)</f>
        <v>2024</v>
      </c>
      <c r="V220" s="6" t="str">
        <f>IFERROR(__xludf.DUMMYFUNCTION("""COMPUTED_VALUE"""),"yes")</f>
        <v>yes</v>
      </c>
      <c r="W220" s="9" t="str">
        <f>IFERROR(__xludf.DUMMYFUNCTION("""COMPUTED_VALUE"""),"Lian")</f>
        <v>Lian</v>
      </c>
      <c r="X220" s="8" t="str">
        <f>IFERROR(__xludf.DUMMYFUNCTION("""COMPUTED_VALUE"""),"2024")</f>
        <v>2024</v>
      </c>
      <c r="Y220" s="8" t="str">
        <f>IFERROR(__xludf.DUMMYFUNCTION("""COMPUTED_VALUE"""),"NatGenet")</f>
        <v>NatGenet</v>
      </c>
      <c r="Z220" s="10" t="str">
        <f>IFERROR(__xludf.DUMMYFUNCTION("""COMPUTED_VALUE"""),"10.1038/s41588-024-01715-9")</f>
        <v>10.1038/s41588-024-01715-9</v>
      </c>
      <c r="AA220" s="10" t="str">
        <f>IFERROR(__xludf.DUMMYFUNCTION("""COMPUTED_VALUE"""),"https://www.nature.com/articles/s41588-024-01715-9")</f>
        <v>https://www.nature.com/articles/s41588-024-01715-9</v>
      </c>
      <c r="AB220" s="5"/>
    </row>
    <row r="221">
      <c r="A221" s="5">
        <f>IFERROR(__xludf.DUMMYFUNCTION("""COMPUTED_VALUE"""),100219.0)</f>
        <v>100219</v>
      </c>
      <c r="B221" s="8" t="str">
        <f>IFERROR(__xludf.DUMMYFUNCTION("""COMPUTED_VALUE"""),"No-0")</f>
        <v>No-0</v>
      </c>
      <c r="C221" s="5">
        <f>IFERROR(__xludf.DUMMYFUNCTION("""COMPUTED_VALUE"""),7273.0)</f>
        <v>7273</v>
      </c>
      <c r="D221" s="5"/>
      <c r="E221" s="5">
        <f>IFERROR(__xludf.DUMMYFUNCTION("""COMPUTED_VALUE"""),100219.0)</f>
        <v>100219</v>
      </c>
      <c r="F221" s="5">
        <f>IFERROR(__xludf.DUMMYFUNCTION("""COMPUTED_VALUE"""),1.0)</f>
        <v>1</v>
      </c>
      <c r="G221" s="5"/>
      <c r="H221" s="5" t="b">
        <f>IFERROR(__xludf.DUMMYFUNCTION("""COMPUTED_VALUE"""),FALSE)</f>
        <v>0</v>
      </c>
      <c r="I221" s="5"/>
      <c r="J221" s="5"/>
      <c r="K221" s="5"/>
      <c r="L221" s="5"/>
      <c r="M221" s="5"/>
      <c r="N221" s="5">
        <f>IFERROR(__xludf.DUMMYFUNCTION("""COMPUTED_VALUE"""),10.0)</f>
        <v>10</v>
      </c>
      <c r="O221" s="5"/>
      <c r="P221" s="5"/>
      <c r="Q221" s="5" t="str">
        <f>IFERROR(__xludf.DUMMYFUNCTION("""COMPUTED_VALUE"""),"no")</f>
        <v>no</v>
      </c>
      <c r="R221" s="5" t="str">
        <f>IFERROR(__xludf.DUMMYFUNCTION("""COMPUTED_VALUE"""),"HiFi")</f>
        <v>HiFi</v>
      </c>
      <c r="S221" s="8" t="str">
        <f>IFERROR(__xludf.DUMMYFUNCTION("""COMPUTED_VALUE"""),"hifiasm_v0.16.1_Canu_v2.1.27")</f>
        <v>hifiasm_v0.16.1_Canu_v2.1.27</v>
      </c>
      <c r="T221" s="6" t="str">
        <f>IFERROR(__xludf.DUMMYFUNCTION("""COMPUTED_VALUE"""),"Pool")</f>
        <v>Pool</v>
      </c>
      <c r="U221" s="6">
        <f>IFERROR(__xludf.DUMMYFUNCTION("""COMPUTED_VALUE"""),2024.0)</f>
        <v>2024</v>
      </c>
      <c r="V221" s="6" t="str">
        <f>IFERROR(__xludf.DUMMYFUNCTION("""COMPUTED_VALUE"""),"yes")</f>
        <v>yes</v>
      </c>
      <c r="W221" s="9" t="str">
        <f>IFERROR(__xludf.DUMMYFUNCTION("""COMPUTED_VALUE"""),"Lian")</f>
        <v>Lian</v>
      </c>
      <c r="X221" s="8" t="str">
        <f>IFERROR(__xludf.DUMMYFUNCTION("""COMPUTED_VALUE"""),"2024")</f>
        <v>2024</v>
      </c>
      <c r="Y221" s="8" t="str">
        <f>IFERROR(__xludf.DUMMYFUNCTION("""COMPUTED_VALUE"""),"NatGenet")</f>
        <v>NatGenet</v>
      </c>
      <c r="Z221" s="10" t="str">
        <f>IFERROR(__xludf.DUMMYFUNCTION("""COMPUTED_VALUE"""),"10.1038/s41588-024-01715-9")</f>
        <v>10.1038/s41588-024-01715-9</v>
      </c>
      <c r="AA221" s="10" t="str">
        <f>IFERROR(__xludf.DUMMYFUNCTION("""COMPUTED_VALUE"""),"https://www.nature.com/articles/s41588-024-01715-9")</f>
        <v>https://www.nature.com/articles/s41588-024-01715-9</v>
      </c>
      <c r="AB221" s="5"/>
    </row>
    <row r="222">
      <c r="A222" s="5">
        <f>IFERROR(__xludf.DUMMYFUNCTION("""COMPUTED_VALUE"""),100220.0)</f>
        <v>100220</v>
      </c>
      <c r="B222" s="8" t="str">
        <f>IFERROR(__xludf.DUMMYFUNCTION("""COMPUTED_VALUE"""),"Qar-8a")</f>
        <v>Qar-8a</v>
      </c>
      <c r="C222" s="5">
        <f>IFERROR(__xludf.DUMMYFUNCTION("""COMPUTED_VALUE"""),9764.0)</f>
        <v>9764</v>
      </c>
      <c r="D222" s="5"/>
      <c r="E222" s="5">
        <f>IFERROR(__xludf.DUMMYFUNCTION("""COMPUTED_VALUE"""),100220.0)</f>
        <v>100220</v>
      </c>
      <c r="F222" s="5">
        <f>IFERROR(__xludf.DUMMYFUNCTION("""COMPUTED_VALUE"""),1.0)</f>
        <v>1</v>
      </c>
      <c r="G222" s="5"/>
      <c r="H222" s="5" t="b">
        <f>IFERROR(__xludf.DUMMYFUNCTION("""COMPUTED_VALUE"""),FALSE)</f>
        <v>0</v>
      </c>
      <c r="I222" s="5"/>
      <c r="J222" s="5"/>
      <c r="K222" s="5"/>
      <c r="L222" s="5"/>
      <c r="M222" s="5"/>
      <c r="N222" s="5">
        <f>IFERROR(__xludf.DUMMYFUNCTION("""COMPUTED_VALUE"""),15.0)</f>
        <v>15</v>
      </c>
      <c r="O222" s="5"/>
      <c r="P222" s="5"/>
      <c r="Q222" s="5" t="str">
        <f>IFERROR(__xludf.DUMMYFUNCTION("""COMPUTED_VALUE"""),"no")</f>
        <v>no</v>
      </c>
      <c r="R222" s="5" t="str">
        <f>IFERROR(__xludf.DUMMYFUNCTION("""COMPUTED_VALUE"""),"HiFi")</f>
        <v>HiFi</v>
      </c>
      <c r="S222" s="8" t="str">
        <f>IFERROR(__xludf.DUMMYFUNCTION("""COMPUTED_VALUE"""),"hifiasm_v0.16.1_Canu_v2.1.28")</f>
        <v>hifiasm_v0.16.1_Canu_v2.1.28</v>
      </c>
      <c r="T222" s="6" t="str">
        <f>IFERROR(__xludf.DUMMYFUNCTION("""COMPUTED_VALUE"""),"Pool")</f>
        <v>Pool</v>
      </c>
      <c r="U222" s="6">
        <f>IFERROR(__xludf.DUMMYFUNCTION("""COMPUTED_VALUE"""),2024.0)</f>
        <v>2024</v>
      </c>
      <c r="V222" s="6" t="str">
        <f>IFERROR(__xludf.DUMMYFUNCTION("""COMPUTED_VALUE"""),"yes")</f>
        <v>yes</v>
      </c>
      <c r="W222" s="9" t="str">
        <f>IFERROR(__xludf.DUMMYFUNCTION("""COMPUTED_VALUE"""),"Lian")</f>
        <v>Lian</v>
      </c>
      <c r="X222" s="8" t="str">
        <f>IFERROR(__xludf.DUMMYFUNCTION("""COMPUTED_VALUE"""),"2024")</f>
        <v>2024</v>
      </c>
      <c r="Y222" s="8" t="str">
        <f>IFERROR(__xludf.DUMMYFUNCTION("""COMPUTED_VALUE"""),"NatGenet")</f>
        <v>NatGenet</v>
      </c>
      <c r="Z222" s="10" t="str">
        <f>IFERROR(__xludf.DUMMYFUNCTION("""COMPUTED_VALUE"""),"10.1038/s41588-024-01715-9")</f>
        <v>10.1038/s41588-024-01715-9</v>
      </c>
      <c r="AA222" s="10" t="str">
        <f>IFERROR(__xludf.DUMMYFUNCTION("""COMPUTED_VALUE"""),"https://www.nature.com/articles/s41588-024-01715-9")</f>
        <v>https://www.nature.com/articles/s41588-024-01715-9</v>
      </c>
      <c r="AB222" s="5"/>
    </row>
    <row r="223">
      <c r="A223" s="5">
        <f>IFERROR(__xludf.DUMMYFUNCTION("""COMPUTED_VALUE"""),100221.0)</f>
        <v>100221</v>
      </c>
      <c r="B223" s="8" t="str">
        <f>IFERROR(__xludf.DUMMYFUNCTION("""COMPUTED_VALUE"""),"Sf-2")</f>
        <v>Sf-2</v>
      </c>
      <c r="C223" s="5">
        <f>IFERROR(__xludf.DUMMYFUNCTION("""COMPUTED_VALUE"""),7328.0)</f>
        <v>7328</v>
      </c>
      <c r="D223" s="5"/>
      <c r="E223" s="5">
        <f>IFERROR(__xludf.DUMMYFUNCTION("""COMPUTED_VALUE"""),100221.0)</f>
        <v>100221</v>
      </c>
      <c r="F223" s="5">
        <f>IFERROR(__xludf.DUMMYFUNCTION("""COMPUTED_VALUE"""),1.0)</f>
        <v>1</v>
      </c>
      <c r="G223" s="5"/>
      <c r="H223" s="5" t="b">
        <f>IFERROR(__xludf.DUMMYFUNCTION("""COMPUTED_VALUE"""),FALSE)</f>
        <v>0</v>
      </c>
      <c r="I223" s="5"/>
      <c r="J223" s="5"/>
      <c r="K223" s="5"/>
      <c r="L223" s="5"/>
      <c r="M223" s="5"/>
      <c r="N223" s="5">
        <f>IFERROR(__xludf.DUMMYFUNCTION("""COMPUTED_VALUE"""),14.0)</f>
        <v>14</v>
      </c>
      <c r="O223" s="5"/>
      <c r="P223" s="5"/>
      <c r="Q223" s="5" t="str">
        <f>IFERROR(__xludf.DUMMYFUNCTION("""COMPUTED_VALUE"""),"no")</f>
        <v>no</v>
      </c>
      <c r="R223" s="5" t="str">
        <f>IFERROR(__xludf.DUMMYFUNCTION("""COMPUTED_VALUE"""),"HiFi")</f>
        <v>HiFi</v>
      </c>
      <c r="S223" s="8" t="str">
        <f>IFERROR(__xludf.DUMMYFUNCTION("""COMPUTED_VALUE"""),"hifiasm_v0.16.1_Canu_v2.1.29")</f>
        <v>hifiasm_v0.16.1_Canu_v2.1.29</v>
      </c>
      <c r="T223" s="6" t="str">
        <f>IFERROR(__xludf.DUMMYFUNCTION("""COMPUTED_VALUE"""),"Pool")</f>
        <v>Pool</v>
      </c>
      <c r="U223" s="6">
        <f>IFERROR(__xludf.DUMMYFUNCTION("""COMPUTED_VALUE"""),2024.0)</f>
        <v>2024</v>
      </c>
      <c r="V223" s="6" t="str">
        <f>IFERROR(__xludf.DUMMYFUNCTION("""COMPUTED_VALUE"""),"yes")</f>
        <v>yes</v>
      </c>
      <c r="W223" s="9" t="str">
        <f>IFERROR(__xludf.DUMMYFUNCTION("""COMPUTED_VALUE"""),"Lian")</f>
        <v>Lian</v>
      </c>
      <c r="X223" s="8" t="str">
        <f>IFERROR(__xludf.DUMMYFUNCTION("""COMPUTED_VALUE"""),"2024")</f>
        <v>2024</v>
      </c>
      <c r="Y223" s="8" t="str">
        <f>IFERROR(__xludf.DUMMYFUNCTION("""COMPUTED_VALUE"""),"NatGenet")</f>
        <v>NatGenet</v>
      </c>
      <c r="Z223" s="10" t="str">
        <f>IFERROR(__xludf.DUMMYFUNCTION("""COMPUTED_VALUE"""),"10.1038/s41588-024-01715-9")</f>
        <v>10.1038/s41588-024-01715-9</v>
      </c>
      <c r="AA223" s="10" t="str">
        <f>IFERROR(__xludf.DUMMYFUNCTION("""COMPUTED_VALUE"""),"https://www.nature.com/articles/s41588-024-01715-9")</f>
        <v>https://www.nature.com/articles/s41588-024-01715-9</v>
      </c>
      <c r="AB223" s="5"/>
    </row>
    <row r="224">
      <c r="A224" s="5">
        <f>IFERROR(__xludf.DUMMYFUNCTION("""COMPUTED_VALUE"""),100222.0)</f>
        <v>100222</v>
      </c>
      <c r="B224" s="8" t="str">
        <f>IFERROR(__xludf.DUMMYFUNCTION("""COMPUTED_VALUE"""),"Tul-0")</f>
        <v>Tul-0</v>
      </c>
      <c r="C224" s="5">
        <f>IFERROR(__xludf.DUMMYFUNCTION("""COMPUTED_VALUE"""),7377.0)</f>
        <v>7377</v>
      </c>
      <c r="D224" s="5"/>
      <c r="E224" s="5"/>
      <c r="F224" s="5">
        <f>IFERROR(__xludf.DUMMYFUNCTION("""COMPUTED_VALUE"""),1.0)</f>
        <v>1</v>
      </c>
      <c r="G224" s="5"/>
      <c r="H224" s="5"/>
      <c r="I224" s="5"/>
      <c r="J224" s="5"/>
      <c r="K224" s="5"/>
      <c r="L224" s="5"/>
      <c r="M224" s="5"/>
      <c r="N224" s="5">
        <f>IFERROR(__xludf.DUMMYFUNCTION("""COMPUTED_VALUE"""),8.0)</f>
        <v>8</v>
      </c>
      <c r="O224" s="5"/>
      <c r="P224" s="5"/>
      <c r="Q224" s="5" t="str">
        <f>IFERROR(__xludf.DUMMYFUNCTION("""COMPUTED_VALUE"""),"yes")</f>
        <v>yes</v>
      </c>
      <c r="R224" s="5" t="str">
        <f>IFERROR(__xludf.DUMMYFUNCTION("""COMPUTED_VALUE"""),"HiFi")</f>
        <v>HiFi</v>
      </c>
      <c r="S224" s="8" t="str">
        <f>IFERROR(__xludf.DUMMYFUNCTION("""COMPUTED_VALUE"""),"hifiasm_v0.16.1_Canu_v2.1.30")</f>
        <v>hifiasm_v0.16.1_Canu_v2.1.30</v>
      </c>
      <c r="T224" s="6" t="str">
        <f>IFERROR(__xludf.DUMMYFUNCTION("""COMPUTED_VALUE"""),"Pool")</f>
        <v>Pool</v>
      </c>
      <c r="U224" s="6">
        <f>IFERROR(__xludf.DUMMYFUNCTION("""COMPUTED_VALUE"""),2024.0)</f>
        <v>2024</v>
      </c>
      <c r="V224" s="6" t="str">
        <f>IFERROR(__xludf.DUMMYFUNCTION("""COMPUTED_VALUE"""),"yes")</f>
        <v>yes</v>
      </c>
      <c r="W224" s="9" t="str">
        <f>IFERROR(__xludf.DUMMYFUNCTION("""COMPUTED_VALUE"""),"Lian")</f>
        <v>Lian</v>
      </c>
      <c r="X224" s="8" t="str">
        <f>IFERROR(__xludf.DUMMYFUNCTION("""COMPUTED_VALUE"""),"2024")</f>
        <v>2024</v>
      </c>
      <c r="Y224" s="8" t="str">
        <f>IFERROR(__xludf.DUMMYFUNCTION("""COMPUTED_VALUE"""),"NatGenet")</f>
        <v>NatGenet</v>
      </c>
      <c r="Z224" s="10" t="str">
        <f>IFERROR(__xludf.DUMMYFUNCTION("""COMPUTED_VALUE"""),"10.1038/s41588-024-01715-9")</f>
        <v>10.1038/s41588-024-01715-9</v>
      </c>
      <c r="AA224" s="10" t="str">
        <f>IFERROR(__xludf.DUMMYFUNCTION("""COMPUTED_VALUE"""),"https://www.nature.com/articles/s41588-024-01715-9")</f>
        <v>https://www.nature.com/articles/s41588-024-01715-9</v>
      </c>
      <c r="AB224" s="5"/>
    </row>
    <row r="225">
      <c r="A225" s="5">
        <f>IFERROR(__xludf.DUMMYFUNCTION("""COMPUTED_VALUE"""),100223.0)</f>
        <v>100223</v>
      </c>
      <c r="B225" s="8" t="str">
        <f>IFERROR(__xludf.DUMMYFUNCTION("""COMPUTED_VALUE"""),"Ice-1")</f>
        <v>Ice-1</v>
      </c>
      <c r="C225" s="5">
        <f>IFERROR(__xludf.DUMMYFUNCTION("""COMPUTED_VALUE"""),22111.0)</f>
        <v>22111</v>
      </c>
      <c r="D225" s="5"/>
      <c r="E225" s="5">
        <f>IFERROR(__xludf.DUMMYFUNCTION("""COMPUTED_VALUE"""),100223.0)</f>
        <v>100223</v>
      </c>
      <c r="F225" s="5">
        <f>IFERROR(__xludf.DUMMYFUNCTION("""COMPUTED_VALUE"""),1.0)</f>
        <v>1</v>
      </c>
      <c r="G225" s="5"/>
      <c r="H225" s="5" t="b">
        <f>IFERROR(__xludf.DUMMYFUNCTION("""COMPUTED_VALUE"""),FALSE)</f>
        <v>0</v>
      </c>
      <c r="I225" s="5"/>
      <c r="J225" s="5"/>
      <c r="K225" s="5"/>
      <c r="L225" s="5"/>
      <c r="M225" s="5"/>
      <c r="N225" s="5">
        <f>IFERROR(__xludf.DUMMYFUNCTION("""COMPUTED_VALUE"""),35.0)</f>
        <v>35</v>
      </c>
      <c r="O225" s="5"/>
      <c r="P225" s="5"/>
      <c r="Q225" s="5" t="str">
        <f>IFERROR(__xludf.DUMMYFUNCTION("""COMPUTED_VALUE"""),"no")</f>
        <v>no</v>
      </c>
      <c r="R225" s="5" t="str">
        <f>IFERROR(__xludf.DUMMYFUNCTION("""COMPUTED_VALUE"""),"HiFi")</f>
        <v>HiFi</v>
      </c>
      <c r="S225" s="8" t="str">
        <f>IFERROR(__xludf.DUMMYFUNCTION("""COMPUTED_VALUE"""),"hifiasm_v0.16.1_Canu_v2.1.31")</f>
        <v>hifiasm_v0.16.1_Canu_v2.1.31</v>
      </c>
      <c r="T225" s="6" t="str">
        <f>IFERROR(__xludf.DUMMYFUNCTION("""COMPUTED_VALUE"""),"Pool")</f>
        <v>Pool</v>
      </c>
      <c r="U225" s="6">
        <f>IFERROR(__xludf.DUMMYFUNCTION("""COMPUTED_VALUE"""),2024.0)</f>
        <v>2024</v>
      </c>
      <c r="V225" s="6" t="str">
        <f>IFERROR(__xludf.DUMMYFUNCTION("""COMPUTED_VALUE"""),"yes")</f>
        <v>yes</v>
      </c>
      <c r="W225" s="9" t="str">
        <f>IFERROR(__xludf.DUMMYFUNCTION("""COMPUTED_VALUE"""),"Lian")</f>
        <v>Lian</v>
      </c>
      <c r="X225" s="8" t="str">
        <f>IFERROR(__xludf.DUMMYFUNCTION("""COMPUTED_VALUE"""),"2024")</f>
        <v>2024</v>
      </c>
      <c r="Y225" s="8" t="str">
        <f>IFERROR(__xludf.DUMMYFUNCTION("""COMPUTED_VALUE"""),"NatGenet")</f>
        <v>NatGenet</v>
      </c>
      <c r="Z225" s="10" t="str">
        <f>IFERROR(__xludf.DUMMYFUNCTION("""COMPUTED_VALUE"""),"10.1038/s41588-024-01715-9")</f>
        <v>10.1038/s41588-024-01715-9</v>
      </c>
      <c r="AA225" s="10" t="str">
        <f>IFERROR(__xludf.DUMMYFUNCTION("""COMPUTED_VALUE"""),"https://www.nature.com/articles/s41588-024-01715-9")</f>
        <v>https://www.nature.com/articles/s41588-024-01715-9</v>
      </c>
      <c r="AB225" s="5"/>
    </row>
    <row r="226">
      <c r="A226" s="5">
        <f>IFERROR(__xludf.DUMMYFUNCTION("""COMPUTED_VALUE"""),100224.0)</f>
        <v>100224</v>
      </c>
      <c r="B226" s="8" t="str">
        <f>IFERROR(__xludf.DUMMYFUNCTION("""COMPUTED_VALUE"""),"Rabacal-1")</f>
        <v>Rabacal-1</v>
      </c>
      <c r="C226" s="5">
        <f>IFERROR(__xludf.DUMMYFUNCTION("""COMPUTED_VALUE"""),22005.0)</f>
        <v>22005</v>
      </c>
      <c r="D226" s="5" t="str">
        <f>IFERROR(__xludf.DUMMYFUNCTION("""COMPUTED_VALUE"""),"Rab-R1")</f>
        <v>Rab-R1</v>
      </c>
      <c r="E226" s="5">
        <f>IFERROR(__xludf.DUMMYFUNCTION("""COMPUTED_VALUE"""),100224.0)</f>
        <v>100224</v>
      </c>
      <c r="F226" s="5">
        <f>IFERROR(__xludf.DUMMYFUNCTION("""COMPUTED_VALUE"""),1.0)</f>
        <v>1</v>
      </c>
      <c r="G226" s="5"/>
      <c r="H226" s="5" t="b">
        <f>IFERROR(__xludf.DUMMYFUNCTION("""COMPUTED_VALUE"""),FALSE)</f>
        <v>0</v>
      </c>
      <c r="I226" s="5"/>
      <c r="J226" s="5"/>
      <c r="K226" s="5"/>
      <c r="L226" s="5"/>
      <c r="M226" s="5"/>
      <c r="N226" s="5">
        <f>IFERROR(__xludf.DUMMYFUNCTION("""COMPUTED_VALUE"""),40.0)</f>
        <v>40</v>
      </c>
      <c r="O226" s="5"/>
      <c r="P226" s="5"/>
      <c r="Q226" s="5" t="str">
        <f>IFERROR(__xludf.DUMMYFUNCTION("""COMPUTED_VALUE"""),"no")</f>
        <v>no</v>
      </c>
      <c r="R226" s="5" t="str">
        <f>IFERROR(__xludf.DUMMYFUNCTION("""COMPUTED_VALUE"""),"HiFi")</f>
        <v>HiFi</v>
      </c>
      <c r="S226" s="8" t="str">
        <f>IFERROR(__xludf.DUMMYFUNCTION("""COMPUTED_VALUE"""),"hifiasm_v0.16.1_Canu_v2.1.32")</f>
        <v>hifiasm_v0.16.1_Canu_v2.1.32</v>
      </c>
      <c r="T226" s="6" t="str">
        <f>IFERROR(__xludf.DUMMYFUNCTION("""COMPUTED_VALUE"""),"Pool")</f>
        <v>Pool</v>
      </c>
      <c r="U226" s="6">
        <f>IFERROR(__xludf.DUMMYFUNCTION("""COMPUTED_VALUE"""),2024.0)</f>
        <v>2024</v>
      </c>
      <c r="V226" s="6" t="str">
        <f>IFERROR(__xludf.DUMMYFUNCTION("""COMPUTED_VALUE"""),"yes")</f>
        <v>yes</v>
      </c>
      <c r="W226" s="9" t="str">
        <f>IFERROR(__xludf.DUMMYFUNCTION("""COMPUTED_VALUE"""),"Lian")</f>
        <v>Lian</v>
      </c>
      <c r="X226" s="8" t="str">
        <f>IFERROR(__xludf.DUMMYFUNCTION("""COMPUTED_VALUE"""),"2024")</f>
        <v>2024</v>
      </c>
      <c r="Y226" s="8" t="str">
        <f>IFERROR(__xludf.DUMMYFUNCTION("""COMPUTED_VALUE"""),"NatGenet")</f>
        <v>NatGenet</v>
      </c>
      <c r="Z226" s="10" t="str">
        <f>IFERROR(__xludf.DUMMYFUNCTION("""COMPUTED_VALUE"""),"10.1038/s41588-024-01715-9")</f>
        <v>10.1038/s41588-024-01715-9</v>
      </c>
      <c r="AA226" s="10" t="str">
        <f>IFERROR(__xludf.DUMMYFUNCTION("""COMPUTED_VALUE"""),"https://www.nature.com/articles/s41588-024-01715-9")</f>
        <v>https://www.nature.com/articles/s41588-024-01715-9</v>
      </c>
      <c r="AB226" s="5"/>
    </row>
    <row r="227">
      <c r="A227" s="5">
        <f>IFERROR(__xludf.DUMMYFUNCTION("""COMPUTED_VALUE"""),100225.0)</f>
        <v>100225</v>
      </c>
      <c r="B227" s="8" t="str">
        <f>IFERROR(__xludf.DUMMYFUNCTION("""COMPUTED_VALUE"""),"St-0")</f>
        <v>St-0</v>
      </c>
      <c r="C227" s="5">
        <f>IFERROR(__xludf.DUMMYFUNCTION("""COMPUTED_VALUE"""),8387.0)</f>
        <v>8387</v>
      </c>
      <c r="D227" s="5"/>
      <c r="E227" s="5">
        <f>IFERROR(__xludf.DUMMYFUNCTION("""COMPUTED_VALUE"""),100225.0)</f>
        <v>100225</v>
      </c>
      <c r="F227" s="5">
        <f>IFERROR(__xludf.DUMMYFUNCTION("""COMPUTED_VALUE"""),1.0)</f>
        <v>1</v>
      </c>
      <c r="G227" s="5"/>
      <c r="H227" s="5" t="b">
        <f>IFERROR(__xludf.DUMMYFUNCTION("""COMPUTED_VALUE"""),FALSE)</f>
        <v>0</v>
      </c>
      <c r="I227" s="5"/>
      <c r="J227" s="5"/>
      <c r="K227" s="5"/>
      <c r="L227" s="5"/>
      <c r="M227" s="5"/>
      <c r="N227" s="5">
        <f>IFERROR(__xludf.DUMMYFUNCTION("""COMPUTED_VALUE"""),68.0)</f>
        <v>68</v>
      </c>
      <c r="O227" s="5"/>
      <c r="P227" s="5"/>
      <c r="Q227" s="5" t="str">
        <f>IFERROR(__xludf.DUMMYFUNCTION("""COMPUTED_VALUE"""),"no")</f>
        <v>no</v>
      </c>
      <c r="R227" s="5" t="str">
        <f>IFERROR(__xludf.DUMMYFUNCTION("""COMPUTED_VALUE"""),"HiFi")</f>
        <v>HiFi</v>
      </c>
      <c r="S227" s="8" t="str">
        <f>IFERROR(__xludf.DUMMYFUNCTION("""COMPUTED_VALUE"""),"hifiasm_v0.16.1_Canu_v2.1.33")</f>
        <v>hifiasm_v0.16.1_Canu_v2.1.33</v>
      </c>
      <c r="T227" s="6" t="str">
        <f>IFERROR(__xludf.DUMMYFUNCTION("""COMPUTED_VALUE"""),"Pool")</f>
        <v>Pool</v>
      </c>
      <c r="U227" s="6">
        <f>IFERROR(__xludf.DUMMYFUNCTION("""COMPUTED_VALUE"""),2024.0)</f>
        <v>2024</v>
      </c>
      <c r="V227" s="6" t="str">
        <f>IFERROR(__xludf.DUMMYFUNCTION("""COMPUTED_VALUE"""),"yes")</f>
        <v>yes</v>
      </c>
      <c r="W227" s="9" t="str">
        <f>IFERROR(__xludf.DUMMYFUNCTION("""COMPUTED_VALUE"""),"Lian")</f>
        <v>Lian</v>
      </c>
      <c r="X227" s="8" t="str">
        <f>IFERROR(__xludf.DUMMYFUNCTION("""COMPUTED_VALUE"""),"2024")</f>
        <v>2024</v>
      </c>
      <c r="Y227" s="8" t="str">
        <f>IFERROR(__xludf.DUMMYFUNCTION("""COMPUTED_VALUE"""),"NatGenet")</f>
        <v>NatGenet</v>
      </c>
      <c r="Z227" s="10" t="str">
        <f>IFERROR(__xludf.DUMMYFUNCTION("""COMPUTED_VALUE"""),"10.1038/s41588-024-01715-9")</f>
        <v>10.1038/s41588-024-01715-9</v>
      </c>
      <c r="AA227" s="10" t="str">
        <f>IFERROR(__xludf.DUMMYFUNCTION("""COMPUTED_VALUE"""),"https://www.nature.com/articles/s41588-024-01715-9")</f>
        <v>https://www.nature.com/articles/s41588-024-01715-9</v>
      </c>
      <c r="AB227" s="5"/>
    </row>
    <row r="228">
      <c r="A228" s="5">
        <f>IFERROR(__xludf.DUMMYFUNCTION("""COMPUTED_VALUE"""),100226.0)</f>
        <v>100226</v>
      </c>
      <c r="B228" s="8" t="str">
        <f>IFERROR(__xludf.DUMMYFUNCTION("""COMPUTED_VALUE"""),"Stw-0")</f>
        <v>Stw-0</v>
      </c>
      <c r="C228" s="5">
        <f>IFERROR(__xludf.DUMMYFUNCTION("""COMPUTED_VALUE"""),7347.0)</f>
        <v>7347</v>
      </c>
      <c r="D228" s="5"/>
      <c r="E228" s="5"/>
      <c r="F228" s="5">
        <f>IFERROR(__xludf.DUMMYFUNCTION("""COMPUTED_VALUE"""),1.0)</f>
        <v>1</v>
      </c>
      <c r="G228" s="5"/>
      <c r="H228" s="5"/>
      <c r="I228" s="5"/>
      <c r="J228" s="5"/>
      <c r="K228" s="5"/>
      <c r="L228" s="5"/>
      <c r="M228" s="5"/>
      <c r="N228" s="5">
        <f>IFERROR(__xludf.DUMMYFUNCTION("""COMPUTED_VALUE"""),17.0)</f>
        <v>17</v>
      </c>
      <c r="O228" s="5"/>
      <c r="P228" s="5"/>
      <c r="Q228" s="5" t="str">
        <f>IFERROR(__xludf.DUMMYFUNCTION("""COMPUTED_VALUE"""),"no")</f>
        <v>no</v>
      </c>
      <c r="R228" s="5" t="str">
        <f>IFERROR(__xludf.DUMMYFUNCTION("""COMPUTED_VALUE"""),"HiFi")</f>
        <v>HiFi</v>
      </c>
      <c r="S228" s="8" t="str">
        <f>IFERROR(__xludf.DUMMYFUNCTION("""COMPUTED_VALUE"""),"hifiasm_v0.16.1_Canu_v2.1.34")</f>
        <v>hifiasm_v0.16.1_Canu_v2.1.34</v>
      </c>
      <c r="T228" s="6" t="str">
        <f>IFERROR(__xludf.DUMMYFUNCTION("""COMPUTED_VALUE"""),"Pool")</f>
        <v>Pool</v>
      </c>
      <c r="U228" s="6">
        <f>IFERROR(__xludf.DUMMYFUNCTION("""COMPUTED_VALUE"""),2024.0)</f>
        <v>2024</v>
      </c>
      <c r="V228" s="6" t="str">
        <f>IFERROR(__xludf.DUMMYFUNCTION("""COMPUTED_VALUE"""),"yes")</f>
        <v>yes</v>
      </c>
      <c r="W228" s="9" t="str">
        <f>IFERROR(__xludf.DUMMYFUNCTION("""COMPUTED_VALUE"""),"Lian")</f>
        <v>Lian</v>
      </c>
      <c r="X228" s="8" t="str">
        <f>IFERROR(__xludf.DUMMYFUNCTION("""COMPUTED_VALUE"""),"2024")</f>
        <v>2024</v>
      </c>
      <c r="Y228" s="8" t="str">
        <f>IFERROR(__xludf.DUMMYFUNCTION("""COMPUTED_VALUE"""),"NatGenet")</f>
        <v>NatGenet</v>
      </c>
      <c r="Z228" s="10" t="str">
        <f>IFERROR(__xludf.DUMMYFUNCTION("""COMPUTED_VALUE"""),"10.1038/s41588-024-01715-9")</f>
        <v>10.1038/s41588-024-01715-9</v>
      </c>
      <c r="AA228" s="10" t="str">
        <f>IFERROR(__xludf.DUMMYFUNCTION("""COMPUTED_VALUE"""),"https://www.nature.com/articles/s41588-024-01715-9")</f>
        <v>https://www.nature.com/articles/s41588-024-01715-9</v>
      </c>
      <c r="AB228" s="5"/>
    </row>
    <row r="229">
      <c r="A229" s="5">
        <f>IFERROR(__xludf.DUMMYFUNCTION("""COMPUTED_VALUE"""),100227.0)</f>
        <v>100227</v>
      </c>
      <c r="B229" s="8" t="str">
        <f>IFERROR(__xludf.DUMMYFUNCTION("""COMPUTED_VALUE"""),"Tanz-1")</f>
        <v>Tanz-1</v>
      </c>
      <c r="C229" s="5">
        <f>IFERROR(__xludf.DUMMYFUNCTION("""COMPUTED_VALUE"""),100002.0)</f>
        <v>100002</v>
      </c>
      <c r="D229" s="5"/>
      <c r="E229" s="5">
        <f>IFERROR(__xludf.DUMMYFUNCTION("""COMPUTED_VALUE"""),100227.0)</f>
        <v>100227</v>
      </c>
      <c r="F229" s="5">
        <f>IFERROR(__xludf.DUMMYFUNCTION("""COMPUTED_VALUE"""),1.0)</f>
        <v>1</v>
      </c>
      <c r="G229" s="5"/>
      <c r="H229" s="5" t="b">
        <f>IFERROR(__xludf.DUMMYFUNCTION("""COMPUTED_VALUE"""),FALSE)</f>
        <v>0</v>
      </c>
      <c r="I229" s="5"/>
      <c r="J229" s="5"/>
      <c r="K229" s="5"/>
      <c r="L229" s="5"/>
      <c r="M229" s="5"/>
      <c r="N229" s="5">
        <f>IFERROR(__xludf.DUMMYFUNCTION("""COMPUTED_VALUE"""),16.0)</f>
        <v>16</v>
      </c>
      <c r="O229" s="5"/>
      <c r="P229" s="5"/>
      <c r="Q229" s="5" t="str">
        <f>IFERROR(__xludf.DUMMYFUNCTION("""COMPUTED_VALUE"""),"no")</f>
        <v>no</v>
      </c>
      <c r="R229" s="5" t="str">
        <f>IFERROR(__xludf.DUMMYFUNCTION("""COMPUTED_VALUE"""),"HiFi")</f>
        <v>HiFi</v>
      </c>
      <c r="S229" s="8" t="str">
        <f>IFERROR(__xludf.DUMMYFUNCTION("""COMPUTED_VALUE"""),"hifiasm_v0.16.1_Canu_v2.1.35")</f>
        <v>hifiasm_v0.16.1_Canu_v2.1.35</v>
      </c>
      <c r="T229" s="6" t="str">
        <f>IFERROR(__xludf.DUMMYFUNCTION("""COMPUTED_VALUE"""),"Pool")</f>
        <v>Pool</v>
      </c>
      <c r="U229" s="6">
        <f>IFERROR(__xludf.DUMMYFUNCTION("""COMPUTED_VALUE"""),2024.0)</f>
        <v>2024</v>
      </c>
      <c r="V229" s="6" t="str">
        <f>IFERROR(__xludf.DUMMYFUNCTION("""COMPUTED_VALUE"""),"yes")</f>
        <v>yes</v>
      </c>
      <c r="W229" s="9" t="str">
        <f>IFERROR(__xludf.DUMMYFUNCTION("""COMPUTED_VALUE"""),"Lian")</f>
        <v>Lian</v>
      </c>
      <c r="X229" s="8" t="str">
        <f>IFERROR(__xludf.DUMMYFUNCTION("""COMPUTED_VALUE"""),"2024")</f>
        <v>2024</v>
      </c>
      <c r="Y229" s="8" t="str">
        <f>IFERROR(__xludf.DUMMYFUNCTION("""COMPUTED_VALUE"""),"NatGenet")</f>
        <v>NatGenet</v>
      </c>
      <c r="Z229" s="10" t="str">
        <f>IFERROR(__xludf.DUMMYFUNCTION("""COMPUTED_VALUE"""),"10.1038/s41588-024-01715-9")</f>
        <v>10.1038/s41588-024-01715-9</v>
      </c>
      <c r="AA229" s="10" t="str">
        <f>IFERROR(__xludf.DUMMYFUNCTION("""COMPUTED_VALUE"""),"https://www.nature.com/articles/s41588-024-01715-9")</f>
        <v>https://www.nature.com/articles/s41588-024-01715-9</v>
      </c>
      <c r="AB229" s="5"/>
    </row>
    <row r="230">
      <c r="A230" s="5">
        <f>IFERROR(__xludf.DUMMYFUNCTION("""COMPUTED_VALUE"""),100228.0)</f>
        <v>100228</v>
      </c>
      <c r="B230" s="8" t="str">
        <f>IFERROR(__xludf.DUMMYFUNCTION("""COMPUTED_VALUE"""),"Taz-0")</f>
        <v>Taz-0</v>
      </c>
      <c r="C230" s="5">
        <f>IFERROR(__xludf.DUMMYFUNCTION("""COMPUTED_VALUE"""),22003.0)</f>
        <v>22003</v>
      </c>
      <c r="D230" s="5"/>
      <c r="E230" s="5"/>
      <c r="F230" s="5">
        <f>IFERROR(__xludf.DUMMYFUNCTION("""COMPUTED_VALUE"""),1.0)</f>
        <v>1</v>
      </c>
      <c r="G230" s="5"/>
      <c r="H230" s="5"/>
      <c r="I230" s="5"/>
      <c r="J230" s="5"/>
      <c r="K230" s="5"/>
      <c r="L230" s="5"/>
      <c r="M230" s="5"/>
      <c r="N230" s="5">
        <f>IFERROR(__xludf.DUMMYFUNCTION("""COMPUTED_VALUE"""),21.0)</f>
        <v>21</v>
      </c>
      <c r="O230" s="5"/>
      <c r="P230" s="5"/>
      <c r="Q230" s="5" t="str">
        <f>IFERROR(__xludf.DUMMYFUNCTION("""COMPUTED_VALUE"""),"no")</f>
        <v>no</v>
      </c>
      <c r="R230" s="5" t="str">
        <f>IFERROR(__xludf.DUMMYFUNCTION("""COMPUTED_VALUE"""),"HiFi")</f>
        <v>HiFi</v>
      </c>
      <c r="S230" s="8" t="str">
        <f>IFERROR(__xludf.DUMMYFUNCTION("""COMPUTED_VALUE"""),"hifiasm_v0.16.1_Canu_v2.1.36")</f>
        <v>hifiasm_v0.16.1_Canu_v2.1.36</v>
      </c>
      <c r="T230" s="6" t="str">
        <f>IFERROR(__xludf.DUMMYFUNCTION("""COMPUTED_VALUE"""),"Pool")</f>
        <v>Pool</v>
      </c>
      <c r="U230" s="6">
        <f>IFERROR(__xludf.DUMMYFUNCTION("""COMPUTED_VALUE"""),2024.0)</f>
        <v>2024</v>
      </c>
      <c r="V230" s="6" t="str">
        <f>IFERROR(__xludf.DUMMYFUNCTION("""COMPUTED_VALUE"""),"yes")</f>
        <v>yes</v>
      </c>
      <c r="W230" s="9" t="str">
        <f>IFERROR(__xludf.DUMMYFUNCTION("""COMPUTED_VALUE"""),"Lian")</f>
        <v>Lian</v>
      </c>
      <c r="X230" s="8" t="str">
        <f>IFERROR(__xludf.DUMMYFUNCTION("""COMPUTED_VALUE"""),"2024")</f>
        <v>2024</v>
      </c>
      <c r="Y230" s="8" t="str">
        <f>IFERROR(__xludf.DUMMYFUNCTION("""COMPUTED_VALUE"""),"NatGenet")</f>
        <v>NatGenet</v>
      </c>
      <c r="Z230" s="10" t="str">
        <f>IFERROR(__xludf.DUMMYFUNCTION("""COMPUTED_VALUE"""),"10.1038/s41588-024-01715-9")</f>
        <v>10.1038/s41588-024-01715-9</v>
      </c>
      <c r="AA230" s="10" t="str">
        <f>IFERROR(__xludf.DUMMYFUNCTION("""COMPUTED_VALUE"""),"https://www.nature.com/articles/s41588-024-01715-9")</f>
        <v>https://www.nature.com/articles/s41588-024-01715-9</v>
      </c>
      <c r="AB230" s="5"/>
    </row>
    <row r="231">
      <c r="A231" s="5">
        <f>IFERROR(__xludf.DUMMYFUNCTION("""COMPUTED_VALUE"""),100229.0)</f>
        <v>100229</v>
      </c>
      <c r="B231" s="5" t="str">
        <f>IFERROR(__xludf.DUMMYFUNCTION("""COMPUTED_VALUE"""),"Ws-4")</f>
        <v>Ws-4</v>
      </c>
      <c r="C231" s="5">
        <f>IFERROR(__xludf.DUMMYFUNCTION("""COMPUTED_VALUE"""),7398.0)</f>
        <v>7398</v>
      </c>
      <c r="D231" s="5"/>
      <c r="E231" s="5">
        <f>IFERROR(__xludf.DUMMYFUNCTION("""COMPUTED_VALUE"""),100229.0)</f>
        <v>100229</v>
      </c>
      <c r="F231" s="5">
        <f>IFERROR(__xludf.DUMMYFUNCTION("""COMPUTED_VALUE"""),1.0)</f>
        <v>1</v>
      </c>
      <c r="G231" s="5"/>
      <c r="H231" s="5" t="b">
        <f>IFERROR(__xludf.DUMMYFUNCTION("""COMPUTED_VALUE"""),FALSE)</f>
        <v>0</v>
      </c>
      <c r="I231" s="5"/>
      <c r="J231" s="5"/>
      <c r="K231" s="5"/>
      <c r="L231" s="5"/>
      <c r="M231" s="5"/>
      <c r="N231" s="5">
        <f>IFERROR(__xludf.DUMMYFUNCTION("""COMPUTED_VALUE"""),12.0)</f>
        <v>12</v>
      </c>
      <c r="O231" s="5"/>
      <c r="P231" s="5"/>
      <c r="Q231" s="5" t="str">
        <f>IFERROR(__xludf.DUMMYFUNCTION("""COMPUTED_VALUE"""),"no")</f>
        <v>no</v>
      </c>
      <c r="R231" s="5" t="str">
        <f>IFERROR(__xludf.DUMMYFUNCTION("""COMPUTED_VALUE"""),"HiFi")</f>
        <v>HiFi</v>
      </c>
      <c r="S231" s="8" t="str">
        <f>IFERROR(__xludf.DUMMYFUNCTION("""COMPUTED_VALUE"""),"hifiasm_v0.16.1_Canu_v2.1.37")</f>
        <v>hifiasm_v0.16.1_Canu_v2.1.37</v>
      </c>
      <c r="T231" s="6" t="str">
        <f>IFERROR(__xludf.DUMMYFUNCTION("""COMPUTED_VALUE"""),"Pool")</f>
        <v>Pool</v>
      </c>
      <c r="U231" s="6">
        <f>IFERROR(__xludf.DUMMYFUNCTION("""COMPUTED_VALUE"""),2024.0)</f>
        <v>2024</v>
      </c>
      <c r="V231" s="6" t="str">
        <f>IFERROR(__xludf.DUMMYFUNCTION("""COMPUTED_VALUE"""),"yes")</f>
        <v>yes</v>
      </c>
      <c r="W231" s="9" t="str">
        <f>IFERROR(__xludf.DUMMYFUNCTION("""COMPUTED_VALUE"""),"Lian")</f>
        <v>Lian</v>
      </c>
      <c r="X231" s="8" t="str">
        <f>IFERROR(__xludf.DUMMYFUNCTION("""COMPUTED_VALUE"""),"2024")</f>
        <v>2024</v>
      </c>
      <c r="Y231" s="8" t="str">
        <f>IFERROR(__xludf.DUMMYFUNCTION("""COMPUTED_VALUE"""),"NatGenet")</f>
        <v>NatGenet</v>
      </c>
      <c r="Z231" s="10" t="str">
        <f>IFERROR(__xludf.DUMMYFUNCTION("""COMPUTED_VALUE"""),"10.1038/s41588-024-01715-9")</f>
        <v>10.1038/s41588-024-01715-9</v>
      </c>
      <c r="AA231" s="10" t="str">
        <f>IFERROR(__xludf.DUMMYFUNCTION("""COMPUTED_VALUE"""),"https://www.nature.com/articles/s41588-024-01715-9")</f>
        <v>https://www.nature.com/articles/s41588-024-01715-9</v>
      </c>
      <c r="AB231" s="5"/>
    </row>
    <row r="232">
      <c r="A232" s="5">
        <f>IFERROR(__xludf.DUMMYFUNCTION("""COMPUTED_VALUE"""),100230.0)</f>
        <v>100230</v>
      </c>
      <c r="B232" s="8" t="str">
        <f>IFERROR(__xludf.DUMMYFUNCTION("""COMPUTED_VALUE"""),"Zin9")</f>
        <v>Zin9</v>
      </c>
      <c r="C232" s="8">
        <f>IFERROR(__xludf.DUMMYFUNCTION("""COMPUTED_VALUE"""),22112.0)</f>
        <v>22112</v>
      </c>
      <c r="D232" s="5"/>
      <c r="E232" s="5">
        <f>IFERROR(__xludf.DUMMYFUNCTION("""COMPUTED_VALUE"""),100230.0)</f>
        <v>100230</v>
      </c>
      <c r="F232" s="5">
        <f>IFERROR(__xludf.DUMMYFUNCTION("""COMPUTED_VALUE"""),1.0)</f>
        <v>1</v>
      </c>
      <c r="G232" s="5"/>
      <c r="H232" s="5" t="b">
        <f>IFERROR(__xludf.DUMMYFUNCTION("""COMPUTED_VALUE"""),FALSE)</f>
        <v>0</v>
      </c>
      <c r="I232" s="5"/>
      <c r="J232" s="5"/>
      <c r="K232" s="5"/>
      <c r="L232" s="5"/>
      <c r="M232" s="5"/>
      <c r="N232" s="5">
        <f>IFERROR(__xludf.DUMMYFUNCTION("""COMPUTED_VALUE"""),17.0)</f>
        <v>17</v>
      </c>
      <c r="O232" s="5"/>
      <c r="P232" s="5"/>
      <c r="Q232" s="5" t="str">
        <f>IFERROR(__xludf.DUMMYFUNCTION("""COMPUTED_VALUE"""),"no")</f>
        <v>no</v>
      </c>
      <c r="R232" s="5" t="str">
        <f>IFERROR(__xludf.DUMMYFUNCTION("""COMPUTED_VALUE"""),"HiFi")</f>
        <v>HiFi</v>
      </c>
      <c r="S232" s="8" t="str">
        <f>IFERROR(__xludf.DUMMYFUNCTION("""COMPUTED_VALUE"""),"hifiasm_v0.16.1_Canu_v2.1.38")</f>
        <v>hifiasm_v0.16.1_Canu_v2.1.38</v>
      </c>
      <c r="T232" s="6" t="str">
        <f>IFERROR(__xludf.DUMMYFUNCTION("""COMPUTED_VALUE"""),"Pool")</f>
        <v>Pool</v>
      </c>
      <c r="U232" s="6">
        <f>IFERROR(__xludf.DUMMYFUNCTION("""COMPUTED_VALUE"""),2024.0)</f>
        <v>2024</v>
      </c>
      <c r="V232" s="6" t="str">
        <f>IFERROR(__xludf.DUMMYFUNCTION("""COMPUTED_VALUE"""),"yes")</f>
        <v>yes</v>
      </c>
      <c r="W232" s="9" t="str">
        <f>IFERROR(__xludf.DUMMYFUNCTION("""COMPUTED_VALUE"""),"Lian")</f>
        <v>Lian</v>
      </c>
      <c r="X232" s="8" t="str">
        <f>IFERROR(__xludf.DUMMYFUNCTION("""COMPUTED_VALUE"""),"2024")</f>
        <v>2024</v>
      </c>
      <c r="Y232" s="8" t="str">
        <f>IFERROR(__xludf.DUMMYFUNCTION("""COMPUTED_VALUE"""),"NatGenet")</f>
        <v>NatGenet</v>
      </c>
      <c r="Z232" s="10" t="str">
        <f>IFERROR(__xludf.DUMMYFUNCTION("""COMPUTED_VALUE"""),"10.1038/s41588-024-01715-9")</f>
        <v>10.1038/s41588-024-01715-9</v>
      </c>
      <c r="AA232" s="10" t="str">
        <f>IFERROR(__xludf.DUMMYFUNCTION("""COMPUTED_VALUE"""),"https://www.nature.com/articles/s41588-024-01715-9")</f>
        <v>https://www.nature.com/articles/s41588-024-01715-9</v>
      </c>
      <c r="AB232" s="5"/>
    </row>
    <row r="233">
      <c r="A233" s="5">
        <f>IFERROR(__xludf.DUMMYFUNCTION("""COMPUTED_VALUE"""),100231.0)</f>
        <v>100231</v>
      </c>
      <c r="B233" s="5" t="str">
        <f>IFERROR(__xludf.DUMMYFUNCTION("""COMPUTED_VALUE"""),"Pyl-1")</f>
        <v>Pyl-1</v>
      </c>
      <c r="C233" s="5">
        <f>IFERROR(__xludf.DUMMYFUNCTION("""COMPUTED_VALUE"""),22113.0)</f>
        <v>22113</v>
      </c>
      <c r="D233" s="5"/>
      <c r="E233" s="5">
        <f>IFERROR(__xludf.DUMMYFUNCTION("""COMPUTED_VALUE"""),100231.0)</f>
        <v>100231</v>
      </c>
      <c r="F233" s="5">
        <f>IFERROR(__xludf.DUMMYFUNCTION("""COMPUTED_VALUE"""),1.0)</f>
        <v>1</v>
      </c>
      <c r="G233" s="5"/>
      <c r="H233" s="5" t="b">
        <f>IFERROR(__xludf.DUMMYFUNCTION("""COMPUTED_VALUE"""),FALSE)</f>
        <v>0</v>
      </c>
      <c r="I233" s="5"/>
      <c r="J233" s="5"/>
      <c r="K233" s="5"/>
      <c r="L233" s="5"/>
      <c r="M233" s="5"/>
      <c r="N233" s="5">
        <f>IFERROR(__xludf.DUMMYFUNCTION("""COMPUTED_VALUE"""),14.0)</f>
        <v>14</v>
      </c>
      <c r="O233" s="5"/>
      <c r="P233" s="5"/>
      <c r="Q233" s="5" t="str">
        <f>IFERROR(__xludf.DUMMYFUNCTION("""COMPUTED_VALUE"""),"no")</f>
        <v>no</v>
      </c>
      <c r="R233" s="5" t="str">
        <f>IFERROR(__xludf.DUMMYFUNCTION("""COMPUTED_VALUE"""),"HiFi")</f>
        <v>HiFi</v>
      </c>
      <c r="S233" s="8" t="str">
        <f>IFERROR(__xludf.DUMMYFUNCTION("""COMPUTED_VALUE"""),"hifiasm_v0.16.1_Canu_v2.1.39")</f>
        <v>hifiasm_v0.16.1_Canu_v2.1.39</v>
      </c>
      <c r="T233" s="6" t="str">
        <f>IFERROR(__xludf.DUMMYFUNCTION("""COMPUTED_VALUE"""),"Pool")</f>
        <v>Pool</v>
      </c>
      <c r="U233" s="6">
        <f>IFERROR(__xludf.DUMMYFUNCTION("""COMPUTED_VALUE"""),2024.0)</f>
        <v>2024</v>
      </c>
      <c r="V233" s="6" t="str">
        <f>IFERROR(__xludf.DUMMYFUNCTION("""COMPUTED_VALUE"""),"yes")</f>
        <v>yes</v>
      </c>
      <c r="W233" s="9" t="str">
        <f>IFERROR(__xludf.DUMMYFUNCTION("""COMPUTED_VALUE"""),"Lian")</f>
        <v>Lian</v>
      </c>
      <c r="X233" s="8" t="str">
        <f>IFERROR(__xludf.DUMMYFUNCTION("""COMPUTED_VALUE"""),"2024")</f>
        <v>2024</v>
      </c>
      <c r="Y233" s="8" t="str">
        <f>IFERROR(__xludf.DUMMYFUNCTION("""COMPUTED_VALUE"""),"NatGenet")</f>
        <v>NatGenet</v>
      </c>
      <c r="Z233" s="10" t="str">
        <f>IFERROR(__xludf.DUMMYFUNCTION("""COMPUTED_VALUE"""),"10.1038/s41588-024-01715-9")</f>
        <v>10.1038/s41588-024-01715-9</v>
      </c>
      <c r="AA233" s="10" t="str">
        <f>IFERROR(__xludf.DUMMYFUNCTION("""COMPUTED_VALUE"""),"https://www.nature.com/articles/s41588-024-01715-9")</f>
        <v>https://www.nature.com/articles/s41588-024-01715-9</v>
      </c>
      <c r="AB233" s="5"/>
    </row>
    <row r="234">
      <c r="A234" s="5">
        <f>IFERROR(__xludf.DUMMYFUNCTION("""COMPUTED_VALUE"""),100232.0)</f>
        <v>100232</v>
      </c>
      <c r="B234" s="5" t="str">
        <f>IFERROR(__xludf.DUMMYFUNCTION("""COMPUTED_VALUE"""),"Valsi-1")</f>
        <v>Valsi-1</v>
      </c>
      <c r="C234" s="5">
        <f>IFERROR(__xludf.DUMMYFUNCTION("""COMPUTED_VALUE"""),9969.0)</f>
        <v>9969</v>
      </c>
      <c r="D234" s="5"/>
      <c r="E234" s="5">
        <f>IFERROR(__xludf.DUMMYFUNCTION("""COMPUTED_VALUE"""),100232.0)</f>
        <v>100232</v>
      </c>
      <c r="F234" s="5">
        <f>IFERROR(__xludf.DUMMYFUNCTION("""COMPUTED_VALUE"""),1.0)</f>
        <v>1</v>
      </c>
      <c r="G234" s="5"/>
      <c r="H234" s="5" t="b">
        <f>IFERROR(__xludf.DUMMYFUNCTION("""COMPUTED_VALUE"""),FALSE)</f>
        <v>0</v>
      </c>
      <c r="I234" s="5"/>
      <c r="J234" s="5"/>
      <c r="K234" s="5"/>
      <c r="L234" s="5"/>
      <c r="M234" s="5"/>
      <c r="N234" s="5">
        <f>IFERROR(__xludf.DUMMYFUNCTION("""COMPUTED_VALUE"""),11.0)</f>
        <v>11</v>
      </c>
      <c r="O234" s="5"/>
      <c r="P234" s="5"/>
      <c r="Q234" s="5" t="str">
        <f>IFERROR(__xludf.DUMMYFUNCTION("""COMPUTED_VALUE"""),"no")</f>
        <v>no</v>
      </c>
      <c r="R234" s="5" t="str">
        <f>IFERROR(__xludf.DUMMYFUNCTION("""COMPUTED_VALUE"""),"HiFi")</f>
        <v>HiFi</v>
      </c>
      <c r="S234" s="8" t="str">
        <f>IFERROR(__xludf.DUMMYFUNCTION("""COMPUTED_VALUE"""),"hifiasm_v0.16.1_Canu_v2.1.40")</f>
        <v>hifiasm_v0.16.1_Canu_v2.1.40</v>
      </c>
      <c r="T234" s="6" t="str">
        <f>IFERROR(__xludf.DUMMYFUNCTION("""COMPUTED_VALUE"""),"Pool")</f>
        <v>Pool</v>
      </c>
      <c r="U234" s="6">
        <f>IFERROR(__xludf.DUMMYFUNCTION("""COMPUTED_VALUE"""),2024.0)</f>
        <v>2024</v>
      </c>
      <c r="V234" s="6" t="str">
        <f>IFERROR(__xludf.DUMMYFUNCTION("""COMPUTED_VALUE"""),"yes")</f>
        <v>yes</v>
      </c>
      <c r="W234" s="9" t="str">
        <f>IFERROR(__xludf.DUMMYFUNCTION("""COMPUTED_VALUE"""),"Lian")</f>
        <v>Lian</v>
      </c>
      <c r="X234" s="8" t="str">
        <f>IFERROR(__xludf.DUMMYFUNCTION("""COMPUTED_VALUE"""),"2024")</f>
        <v>2024</v>
      </c>
      <c r="Y234" s="8" t="str">
        <f>IFERROR(__xludf.DUMMYFUNCTION("""COMPUTED_VALUE"""),"NatGenet")</f>
        <v>NatGenet</v>
      </c>
      <c r="Z234" s="10" t="str">
        <f>IFERROR(__xludf.DUMMYFUNCTION("""COMPUTED_VALUE"""),"10.1038/s41588-024-01715-9")</f>
        <v>10.1038/s41588-024-01715-9</v>
      </c>
      <c r="AA234" s="10" t="str">
        <f>IFERROR(__xludf.DUMMYFUNCTION("""COMPUTED_VALUE"""),"https://www.nature.com/articles/s41588-024-01715-9")</f>
        <v>https://www.nature.com/articles/s41588-024-01715-9</v>
      </c>
      <c r="AB234" s="5"/>
    </row>
    <row r="235">
      <c r="A235" s="5">
        <f>IFERROR(__xludf.DUMMYFUNCTION("""COMPUTED_VALUE"""),100233.0)</f>
        <v>100233</v>
      </c>
      <c r="B235" s="5" t="str">
        <f>IFERROR(__xludf.DUMMYFUNCTION("""COMPUTED_VALUE"""),"Geg-14")</f>
        <v>Geg-14</v>
      </c>
      <c r="C235" s="5">
        <f>IFERROR(__xludf.DUMMYFUNCTION("""COMPUTED_VALUE"""),9125.0)</f>
        <v>9125</v>
      </c>
      <c r="D235" s="5"/>
      <c r="E235" s="5"/>
      <c r="F235" s="5">
        <f>IFERROR(__xludf.DUMMYFUNCTION("""COMPUTED_VALUE"""),1.0)</f>
        <v>1</v>
      </c>
      <c r="G235" s="5"/>
      <c r="H235" s="5"/>
      <c r="I235" s="5"/>
      <c r="J235" s="5"/>
      <c r="K235" s="5"/>
      <c r="L235" s="5"/>
      <c r="M235" s="5"/>
      <c r="N235" s="5">
        <f>IFERROR(__xludf.DUMMYFUNCTION("""COMPUTED_VALUE"""),15.0)</f>
        <v>15</v>
      </c>
      <c r="O235" s="5"/>
      <c r="P235" s="5"/>
      <c r="Q235" s="5" t="str">
        <f>IFERROR(__xludf.DUMMYFUNCTION("""COMPUTED_VALUE"""),"yes")</f>
        <v>yes</v>
      </c>
      <c r="R235" s="5" t="str">
        <f>IFERROR(__xludf.DUMMYFUNCTION("""COMPUTED_VALUE"""),"HiFi")</f>
        <v>HiFi</v>
      </c>
      <c r="S235" s="8" t="str">
        <f>IFERROR(__xludf.DUMMYFUNCTION("""COMPUTED_VALUE"""),"hifiasm_v0.16.1_Canu_v2.1.41")</f>
        <v>hifiasm_v0.16.1_Canu_v2.1.41</v>
      </c>
      <c r="T235" s="6" t="str">
        <f>IFERROR(__xludf.DUMMYFUNCTION("""COMPUTED_VALUE"""),"Pool")</f>
        <v>Pool</v>
      </c>
      <c r="U235" s="6">
        <f>IFERROR(__xludf.DUMMYFUNCTION("""COMPUTED_VALUE"""),2024.0)</f>
        <v>2024</v>
      </c>
      <c r="V235" s="6" t="str">
        <f>IFERROR(__xludf.DUMMYFUNCTION("""COMPUTED_VALUE"""),"yes")</f>
        <v>yes</v>
      </c>
      <c r="W235" s="9" t="str">
        <f>IFERROR(__xludf.DUMMYFUNCTION("""COMPUTED_VALUE"""),"Lian")</f>
        <v>Lian</v>
      </c>
      <c r="X235" s="8" t="str">
        <f>IFERROR(__xludf.DUMMYFUNCTION("""COMPUTED_VALUE"""),"2024")</f>
        <v>2024</v>
      </c>
      <c r="Y235" s="8" t="str">
        <f>IFERROR(__xludf.DUMMYFUNCTION("""COMPUTED_VALUE"""),"NatGenet")</f>
        <v>NatGenet</v>
      </c>
      <c r="Z235" s="10" t="str">
        <f>IFERROR(__xludf.DUMMYFUNCTION("""COMPUTED_VALUE"""),"10.1038/s41588-024-01715-9")</f>
        <v>10.1038/s41588-024-01715-9</v>
      </c>
      <c r="AA235" s="10" t="str">
        <f>IFERROR(__xludf.DUMMYFUNCTION("""COMPUTED_VALUE"""),"https://www.nature.com/articles/s41588-024-01715-9")</f>
        <v>https://www.nature.com/articles/s41588-024-01715-9</v>
      </c>
      <c r="AB235" s="5"/>
    </row>
    <row r="236">
      <c r="A236" s="5">
        <f>IFERROR(__xludf.DUMMYFUNCTION("""COMPUTED_VALUE"""),100234.0)</f>
        <v>100234</v>
      </c>
      <c r="B236" s="5" t="str">
        <f>IFERROR(__xludf.DUMMYFUNCTION("""COMPUTED_VALUE"""),"Dog-4")</f>
        <v>Dog-4</v>
      </c>
      <c r="C236" s="5">
        <f>IFERROR(__xludf.DUMMYFUNCTION("""COMPUTED_VALUE"""),9992.0)</f>
        <v>9992</v>
      </c>
      <c r="D236" s="5"/>
      <c r="E236" s="5">
        <f>IFERROR(__xludf.DUMMYFUNCTION("""COMPUTED_VALUE"""),100234.0)</f>
        <v>100234</v>
      </c>
      <c r="F236" s="5">
        <f>IFERROR(__xludf.DUMMYFUNCTION("""COMPUTED_VALUE"""),1.0)</f>
        <v>1</v>
      </c>
      <c r="G236" s="5"/>
      <c r="H236" s="5" t="b">
        <f>IFERROR(__xludf.DUMMYFUNCTION("""COMPUTED_VALUE"""),FALSE)</f>
        <v>0</v>
      </c>
      <c r="I236" s="5"/>
      <c r="J236" s="5"/>
      <c r="K236" s="5"/>
      <c r="L236" s="5"/>
      <c r="M236" s="5"/>
      <c r="N236" s="5">
        <f>IFERROR(__xludf.DUMMYFUNCTION("""COMPUTED_VALUE"""),14.0)</f>
        <v>14</v>
      </c>
      <c r="O236" s="5"/>
      <c r="P236" s="5"/>
      <c r="Q236" s="5" t="str">
        <f>IFERROR(__xludf.DUMMYFUNCTION("""COMPUTED_VALUE"""),"no")</f>
        <v>no</v>
      </c>
      <c r="R236" s="5" t="str">
        <f>IFERROR(__xludf.DUMMYFUNCTION("""COMPUTED_VALUE"""),"HiFi")</f>
        <v>HiFi</v>
      </c>
      <c r="S236" s="8" t="str">
        <f>IFERROR(__xludf.DUMMYFUNCTION("""COMPUTED_VALUE"""),"hifiasm_v0.16.1_Canu_v2.1.42")</f>
        <v>hifiasm_v0.16.1_Canu_v2.1.42</v>
      </c>
      <c r="T236" s="6" t="str">
        <f>IFERROR(__xludf.DUMMYFUNCTION("""COMPUTED_VALUE"""),"Pool")</f>
        <v>Pool</v>
      </c>
      <c r="U236" s="6">
        <f>IFERROR(__xludf.DUMMYFUNCTION("""COMPUTED_VALUE"""),2024.0)</f>
        <v>2024</v>
      </c>
      <c r="V236" s="6" t="str">
        <f>IFERROR(__xludf.DUMMYFUNCTION("""COMPUTED_VALUE"""),"yes")</f>
        <v>yes</v>
      </c>
      <c r="W236" s="9" t="str">
        <f>IFERROR(__xludf.DUMMYFUNCTION("""COMPUTED_VALUE"""),"Lian")</f>
        <v>Lian</v>
      </c>
      <c r="X236" s="8" t="str">
        <f>IFERROR(__xludf.DUMMYFUNCTION("""COMPUTED_VALUE"""),"2024")</f>
        <v>2024</v>
      </c>
      <c r="Y236" s="8" t="str">
        <f>IFERROR(__xludf.DUMMYFUNCTION("""COMPUTED_VALUE"""),"NatGenet")</f>
        <v>NatGenet</v>
      </c>
      <c r="Z236" s="10" t="str">
        <f>IFERROR(__xludf.DUMMYFUNCTION("""COMPUTED_VALUE"""),"10.1038/s41588-024-01715-9")</f>
        <v>10.1038/s41588-024-01715-9</v>
      </c>
      <c r="AA236" s="10" t="str">
        <f>IFERROR(__xludf.DUMMYFUNCTION("""COMPUTED_VALUE"""),"https://www.nature.com/articles/s41588-024-01715-9")</f>
        <v>https://www.nature.com/articles/s41588-024-01715-9</v>
      </c>
      <c r="AB236" s="5"/>
    </row>
    <row r="237">
      <c r="A237" s="5">
        <f>IFERROR(__xludf.DUMMYFUNCTION("""COMPUTED_VALUE"""),100235.0)</f>
        <v>100235</v>
      </c>
      <c r="B237" s="5" t="str">
        <f>IFERROR(__xludf.DUMMYFUNCTION("""COMPUTED_VALUE"""),"Nemrut-1")</f>
        <v>Nemrut-1</v>
      </c>
      <c r="C237" s="5">
        <f>IFERROR(__xludf.DUMMYFUNCTION("""COMPUTED_VALUE"""),9993.0)</f>
        <v>9993</v>
      </c>
      <c r="D237" s="5"/>
      <c r="E237" s="5">
        <f>IFERROR(__xludf.DUMMYFUNCTION("""COMPUTED_VALUE"""),100235.0)</f>
        <v>100235</v>
      </c>
      <c r="F237" s="5">
        <f>IFERROR(__xludf.DUMMYFUNCTION("""COMPUTED_VALUE"""),1.0)</f>
        <v>1</v>
      </c>
      <c r="G237" s="5"/>
      <c r="H237" s="5" t="b">
        <f>IFERROR(__xludf.DUMMYFUNCTION("""COMPUTED_VALUE"""),FALSE)</f>
        <v>0</v>
      </c>
      <c r="I237" s="5"/>
      <c r="J237" s="5"/>
      <c r="K237" s="5"/>
      <c r="L237" s="5"/>
      <c r="M237" s="5"/>
      <c r="N237" s="5">
        <f>IFERROR(__xludf.DUMMYFUNCTION("""COMPUTED_VALUE"""),12.0)</f>
        <v>12</v>
      </c>
      <c r="O237" s="5"/>
      <c r="P237" s="5"/>
      <c r="Q237" s="5" t="str">
        <f>IFERROR(__xludf.DUMMYFUNCTION("""COMPUTED_VALUE"""),"no")</f>
        <v>no</v>
      </c>
      <c r="R237" s="5" t="str">
        <f>IFERROR(__xludf.DUMMYFUNCTION("""COMPUTED_VALUE"""),"HiFi")</f>
        <v>HiFi</v>
      </c>
      <c r="S237" s="8" t="str">
        <f>IFERROR(__xludf.DUMMYFUNCTION("""COMPUTED_VALUE"""),"hifiasm_v0.16.1_Canu_v2.1.43")</f>
        <v>hifiasm_v0.16.1_Canu_v2.1.43</v>
      </c>
      <c r="T237" s="6" t="str">
        <f>IFERROR(__xludf.DUMMYFUNCTION("""COMPUTED_VALUE"""),"Pool")</f>
        <v>Pool</v>
      </c>
      <c r="U237" s="6">
        <f>IFERROR(__xludf.DUMMYFUNCTION("""COMPUTED_VALUE"""),2024.0)</f>
        <v>2024</v>
      </c>
      <c r="V237" s="6" t="str">
        <f>IFERROR(__xludf.DUMMYFUNCTION("""COMPUTED_VALUE"""),"yes")</f>
        <v>yes</v>
      </c>
      <c r="W237" s="9" t="str">
        <f>IFERROR(__xludf.DUMMYFUNCTION("""COMPUTED_VALUE"""),"Lian")</f>
        <v>Lian</v>
      </c>
      <c r="X237" s="8" t="str">
        <f>IFERROR(__xludf.DUMMYFUNCTION("""COMPUTED_VALUE"""),"2024")</f>
        <v>2024</v>
      </c>
      <c r="Y237" s="8" t="str">
        <f>IFERROR(__xludf.DUMMYFUNCTION("""COMPUTED_VALUE"""),"NatGenet")</f>
        <v>NatGenet</v>
      </c>
      <c r="Z237" s="10" t="str">
        <f>IFERROR(__xludf.DUMMYFUNCTION("""COMPUTED_VALUE"""),"10.1038/s41588-024-01715-9")</f>
        <v>10.1038/s41588-024-01715-9</v>
      </c>
      <c r="AA237" s="10" t="str">
        <f>IFERROR(__xludf.DUMMYFUNCTION("""COMPUTED_VALUE"""),"https://www.nature.com/articles/s41588-024-01715-9")</f>
        <v>https://www.nature.com/articles/s41588-024-01715-9</v>
      </c>
      <c r="AB237" s="5"/>
    </row>
    <row r="238">
      <c r="A238" s="5">
        <f>IFERROR(__xludf.DUMMYFUNCTION("""COMPUTED_VALUE"""),100236.0)</f>
        <v>100236</v>
      </c>
      <c r="B238" s="5" t="str">
        <f>IFERROR(__xludf.DUMMYFUNCTION("""COMPUTED_VALUE"""),"Toufl-1")</f>
        <v>Toufl-1</v>
      </c>
      <c r="C238" s="5">
        <f>IFERROR(__xludf.DUMMYFUNCTION("""COMPUTED_VALUE"""),9940.0)</f>
        <v>9940</v>
      </c>
      <c r="D238" s="5"/>
      <c r="E238" s="5">
        <f>IFERROR(__xludf.DUMMYFUNCTION("""COMPUTED_VALUE"""),100236.0)</f>
        <v>100236</v>
      </c>
      <c r="F238" s="5">
        <f>IFERROR(__xludf.DUMMYFUNCTION("""COMPUTED_VALUE"""),1.0)</f>
        <v>1</v>
      </c>
      <c r="G238" s="5"/>
      <c r="H238" s="5" t="b">
        <f>IFERROR(__xludf.DUMMYFUNCTION("""COMPUTED_VALUE"""),FALSE)</f>
        <v>0</v>
      </c>
      <c r="I238" s="5"/>
      <c r="J238" s="5"/>
      <c r="K238" s="5"/>
      <c r="L238" s="5"/>
      <c r="M238" s="5"/>
      <c r="N238" s="5">
        <f>IFERROR(__xludf.DUMMYFUNCTION("""COMPUTED_VALUE"""),6.0)</f>
        <v>6</v>
      </c>
      <c r="O238" s="5"/>
      <c r="P238" s="5"/>
      <c r="Q238" s="5" t="str">
        <f>IFERROR(__xludf.DUMMYFUNCTION("""COMPUTED_VALUE"""),"no")</f>
        <v>no</v>
      </c>
      <c r="R238" s="5" t="str">
        <f>IFERROR(__xludf.DUMMYFUNCTION("""COMPUTED_VALUE"""),"HiFi")</f>
        <v>HiFi</v>
      </c>
      <c r="S238" s="8" t="str">
        <f>IFERROR(__xludf.DUMMYFUNCTION("""COMPUTED_VALUE"""),"hifiasm_v0.16.1_Canu_v2.1.44")</f>
        <v>hifiasm_v0.16.1_Canu_v2.1.44</v>
      </c>
      <c r="T238" s="6" t="str">
        <f>IFERROR(__xludf.DUMMYFUNCTION("""COMPUTED_VALUE"""),"Pool")</f>
        <v>Pool</v>
      </c>
      <c r="U238" s="6">
        <f>IFERROR(__xludf.DUMMYFUNCTION("""COMPUTED_VALUE"""),2024.0)</f>
        <v>2024</v>
      </c>
      <c r="V238" s="6" t="str">
        <f>IFERROR(__xludf.DUMMYFUNCTION("""COMPUTED_VALUE"""),"yes")</f>
        <v>yes</v>
      </c>
      <c r="W238" s="9" t="str">
        <f>IFERROR(__xludf.DUMMYFUNCTION("""COMPUTED_VALUE"""),"Lian")</f>
        <v>Lian</v>
      </c>
      <c r="X238" s="8" t="str">
        <f>IFERROR(__xludf.DUMMYFUNCTION("""COMPUTED_VALUE"""),"2024")</f>
        <v>2024</v>
      </c>
      <c r="Y238" s="8" t="str">
        <f>IFERROR(__xludf.DUMMYFUNCTION("""COMPUTED_VALUE"""),"NatGenet")</f>
        <v>NatGenet</v>
      </c>
      <c r="Z238" s="10" t="str">
        <f>IFERROR(__xludf.DUMMYFUNCTION("""COMPUTED_VALUE"""),"10.1038/s41588-024-01715-9")</f>
        <v>10.1038/s41588-024-01715-9</v>
      </c>
      <c r="AA238" s="10" t="str">
        <f>IFERROR(__xludf.DUMMYFUNCTION("""COMPUTED_VALUE"""),"https://www.nature.com/articles/s41588-024-01715-9")</f>
        <v>https://www.nature.com/articles/s41588-024-01715-9</v>
      </c>
      <c r="AB238" s="5"/>
    </row>
    <row r="239">
      <c r="A239" s="5">
        <f>IFERROR(__xludf.DUMMYFUNCTION("""COMPUTED_VALUE"""),100237.0)</f>
        <v>100237</v>
      </c>
      <c r="B239" s="5" t="str">
        <f>IFERROR(__xludf.DUMMYFUNCTION("""COMPUTED_VALUE"""),"Anz-0")</f>
        <v>Anz-0</v>
      </c>
      <c r="C239" s="5">
        <f>IFERROR(__xludf.DUMMYFUNCTION("""COMPUTED_VALUE"""),9759.0)</f>
        <v>9759</v>
      </c>
      <c r="D239" s="5"/>
      <c r="E239" s="5">
        <f>IFERROR(__xludf.DUMMYFUNCTION("""COMPUTED_VALUE"""),100237.0)</f>
        <v>100237</v>
      </c>
      <c r="F239" s="5">
        <f>IFERROR(__xludf.DUMMYFUNCTION("""COMPUTED_VALUE"""),1.0)</f>
        <v>1</v>
      </c>
      <c r="G239" s="5"/>
      <c r="H239" s="5" t="b">
        <f>IFERROR(__xludf.DUMMYFUNCTION("""COMPUTED_VALUE"""),FALSE)</f>
        <v>0</v>
      </c>
      <c r="I239" s="5"/>
      <c r="J239" s="5"/>
      <c r="K239" s="5"/>
      <c r="L239" s="5"/>
      <c r="M239" s="5"/>
      <c r="N239" s="5">
        <f>IFERROR(__xludf.DUMMYFUNCTION("""COMPUTED_VALUE"""),14.0)</f>
        <v>14</v>
      </c>
      <c r="O239" s="5"/>
      <c r="P239" s="5"/>
      <c r="Q239" s="5" t="str">
        <f>IFERROR(__xludf.DUMMYFUNCTION("""COMPUTED_VALUE"""),"no")</f>
        <v>no</v>
      </c>
      <c r="R239" s="5" t="str">
        <f>IFERROR(__xludf.DUMMYFUNCTION("""COMPUTED_VALUE"""),"HiFi")</f>
        <v>HiFi</v>
      </c>
      <c r="S239" s="8" t="str">
        <f>IFERROR(__xludf.DUMMYFUNCTION("""COMPUTED_VALUE"""),"hifiasm_v0.16.1_Canu_v2.1.45")</f>
        <v>hifiasm_v0.16.1_Canu_v2.1.45</v>
      </c>
      <c r="T239" s="6" t="str">
        <f>IFERROR(__xludf.DUMMYFUNCTION("""COMPUTED_VALUE"""),"Pool")</f>
        <v>Pool</v>
      </c>
      <c r="U239" s="6">
        <f>IFERROR(__xludf.DUMMYFUNCTION("""COMPUTED_VALUE"""),2024.0)</f>
        <v>2024</v>
      </c>
      <c r="V239" s="6" t="str">
        <f>IFERROR(__xludf.DUMMYFUNCTION("""COMPUTED_VALUE"""),"yes")</f>
        <v>yes</v>
      </c>
      <c r="W239" s="9" t="str">
        <f>IFERROR(__xludf.DUMMYFUNCTION("""COMPUTED_VALUE"""),"Lian")</f>
        <v>Lian</v>
      </c>
      <c r="X239" s="8" t="str">
        <f>IFERROR(__xludf.DUMMYFUNCTION("""COMPUTED_VALUE"""),"2024")</f>
        <v>2024</v>
      </c>
      <c r="Y239" s="8" t="str">
        <f>IFERROR(__xludf.DUMMYFUNCTION("""COMPUTED_VALUE"""),"NatGenet")</f>
        <v>NatGenet</v>
      </c>
      <c r="Z239" s="10" t="str">
        <f>IFERROR(__xludf.DUMMYFUNCTION("""COMPUTED_VALUE"""),"10.1038/s41588-024-01715-9")</f>
        <v>10.1038/s41588-024-01715-9</v>
      </c>
      <c r="AA239" s="10" t="str">
        <f>IFERROR(__xludf.DUMMYFUNCTION("""COMPUTED_VALUE"""),"https://www.nature.com/articles/s41588-024-01715-9")</f>
        <v>https://www.nature.com/articles/s41588-024-01715-9</v>
      </c>
      <c r="AB239" s="5"/>
    </row>
    <row r="240">
      <c r="A240" s="5">
        <f>IFERROR(__xludf.DUMMYFUNCTION("""COMPUTED_VALUE"""),100238.0)</f>
        <v>100238</v>
      </c>
      <c r="B240" s="5" t="str">
        <f>IFERROR(__xludf.DUMMYFUNCTION("""COMPUTED_VALUE"""),"Areeiro-1")</f>
        <v>Areeiro-1</v>
      </c>
      <c r="C240" s="5">
        <f>IFERROR(__xludf.DUMMYFUNCTION("""COMPUTED_VALUE"""),22006.0)</f>
        <v>22006</v>
      </c>
      <c r="D240" s="5" t="str">
        <f>IFERROR(__xludf.DUMMYFUNCTION("""COMPUTED_VALUE"""),"Are-1")</f>
        <v>Are-1</v>
      </c>
      <c r="E240" s="5"/>
      <c r="F240" s="5">
        <f>IFERROR(__xludf.DUMMYFUNCTION("""COMPUTED_VALUE"""),1.0)</f>
        <v>1</v>
      </c>
      <c r="G240" s="5"/>
      <c r="H240" s="5"/>
      <c r="I240" s="5"/>
      <c r="J240" s="5"/>
      <c r="K240" s="5"/>
      <c r="L240" s="5"/>
      <c r="M240" s="5"/>
      <c r="N240" s="5">
        <f>IFERROR(__xludf.DUMMYFUNCTION("""COMPUTED_VALUE"""),86.0)</f>
        <v>86</v>
      </c>
      <c r="O240" s="5"/>
      <c r="P240" s="5"/>
      <c r="Q240" s="5" t="str">
        <f>IFERROR(__xludf.DUMMYFUNCTION("""COMPUTED_VALUE"""),"no")</f>
        <v>no</v>
      </c>
      <c r="R240" s="5" t="str">
        <f>IFERROR(__xludf.DUMMYFUNCTION("""COMPUTED_VALUE"""),"ONT")</f>
        <v>ONT</v>
      </c>
      <c r="S240" s="5" t="str">
        <f>IFERROR(__xludf.DUMMYFUNCTION("""COMPUTED_VALUE"""),"Flye_v2.7")</f>
        <v>Flye_v2.7</v>
      </c>
      <c r="T240" s="6" t="str">
        <f>IFERROR(__xludf.DUMMYFUNCTION("""COMPUTED_VALUE"""),"Pool???")</f>
        <v>Pool???</v>
      </c>
      <c r="U240" s="6">
        <f>IFERROR(__xludf.DUMMYFUNCTION("""COMPUTED_VALUE"""),2024.0)</f>
        <v>2024</v>
      </c>
      <c r="V240" s="6" t="str">
        <f>IFERROR(__xludf.DUMMYFUNCTION("""COMPUTED_VALUE"""),"yes")</f>
        <v>yes</v>
      </c>
      <c r="W240" s="9" t="str">
        <f>IFERROR(__xludf.DUMMYFUNCTION("""COMPUTED_VALUE"""),"Lian")</f>
        <v>Lian</v>
      </c>
      <c r="X240" s="8" t="str">
        <f>IFERROR(__xludf.DUMMYFUNCTION("""COMPUTED_VALUE"""),"2024")</f>
        <v>2024</v>
      </c>
      <c r="Y240" s="8" t="str">
        <f>IFERROR(__xludf.DUMMYFUNCTION("""COMPUTED_VALUE"""),"NatGenet")</f>
        <v>NatGenet</v>
      </c>
      <c r="Z240" s="10" t="str">
        <f>IFERROR(__xludf.DUMMYFUNCTION("""COMPUTED_VALUE"""),"10.1038/s41588-024-01715-9")</f>
        <v>10.1038/s41588-024-01715-9</v>
      </c>
      <c r="AA240" s="10" t="str">
        <f>IFERROR(__xludf.DUMMYFUNCTION("""COMPUTED_VALUE"""),"https://www.nature.com/articles/s41588-024-01715-9")</f>
        <v>https://www.nature.com/articles/s41588-024-01715-9</v>
      </c>
      <c r="AB240" s="5"/>
    </row>
    <row r="241">
      <c r="A241" s="5">
        <f>IFERROR(__xludf.DUMMYFUNCTION("""COMPUTED_VALUE"""),100239.0)</f>
        <v>100239</v>
      </c>
      <c r="B241" s="5" t="str">
        <f>IFERROR(__xludf.DUMMYFUNCTION("""COMPUTED_VALUE"""),"Areeiro-2")</f>
        <v>Areeiro-2</v>
      </c>
      <c r="C241" s="5">
        <f>IFERROR(__xludf.DUMMYFUNCTION("""COMPUTED_VALUE"""),22114.0)</f>
        <v>22114</v>
      </c>
      <c r="D241" s="5" t="str">
        <f>IFERROR(__xludf.DUMMYFUNCTION("""COMPUTED_VALUE"""),"Are-2")</f>
        <v>Are-2</v>
      </c>
      <c r="E241" s="5"/>
      <c r="F241" s="5">
        <f>IFERROR(__xludf.DUMMYFUNCTION("""COMPUTED_VALUE"""),1.0)</f>
        <v>1</v>
      </c>
      <c r="G241" s="5"/>
      <c r="H241" s="5"/>
      <c r="I241" s="5"/>
      <c r="J241" s="5"/>
      <c r="K241" s="5"/>
      <c r="L241" s="5"/>
      <c r="M241" s="5"/>
      <c r="N241" s="5">
        <f>IFERROR(__xludf.DUMMYFUNCTION("""COMPUTED_VALUE"""),108.0)</f>
        <v>108</v>
      </c>
      <c r="O241" s="5"/>
      <c r="P241" s="5"/>
      <c r="Q241" s="5" t="str">
        <f>IFERROR(__xludf.DUMMYFUNCTION("""COMPUTED_VALUE"""),"no")</f>
        <v>no</v>
      </c>
      <c r="R241" s="5" t="str">
        <f>IFERROR(__xludf.DUMMYFUNCTION("""COMPUTED_VALUE"""),"ONT")</f>
        <v>ONT</v>
      </c>
      <c r="S241" s="5" t="str">
        <f>IFERROR(__xludf.DUMMYFUNCTION("""COMPUTED_VALUE"""),"Flye_v2.7")</f>
        <v>Flye_v2.7</v>
      </c>
      <c r="T241" s="6" t="str">
        <f>IFERROR(__xludf.DUMMYFUNCTION("""COMPUTED_VALUE"""),"Pool???")</f>
        <v>Pool???</v>
      </c>
      <c r="U241" s="6">
        <f>IFERROR(__xludf.DUMMYFUNCTION("""COMPUTED_VALUE"""),2024.0)</f>
        <v>2024</v>
      </c>
      <c r="V241" s="6" t="str">
        <f>IFERROR(__xludf.DUMMYFUNCTION("""COMPUTED_VALUE"""),"yes")</f>
        <v>yes</v>
      </c>
      <c r="W241" s="9" t="str">
        <f>IFERROR(__xludf.DUMMYFUNCTION("""COMPUTED_VALUE"""),"Lian")</f>
        <v>Lian</v>
      </c>
      <c r="X241" s="8" t="str">
        <f>IFERROR(__xludf.DUMMYFUNCTION("""COMPUTED_VALUE"""),"2024")</f>
        <v>2024</v>
      </c>
      <c r="Y241" s="8" t="str">
        <f>IFERROR(__xludf.DUMMYFUNCTION("""COMPUTED_VALUE"""),"NatGenet")</f>
        <v>NatGenet</v>
      </c>
      <c r="Z241" s="10" t="str">
        <f>IFERROR(__xludf.DUMMYFUNCTION("""COMPUTED_VALUE"""),"10.1038/s41588-024-01715-9")</f>
        <v>10.1038/s41588-024-01715-9</v>
      </c>
      <c r="AA241" s="10" t="str">
        <f>IFERROR(__xludf.DUMMYFUNCTION("""COMPUTED_VALUE"""),"https://www.nature.com/articles/s41588-024-01715-9")</f>
        <v>https://www.nature.com/articles/s41588-024-01715-9</v>
      </c>
      <c r="AB241" s="5"/>
    </row>
    <row r="242">
      <c r="A242" s="5">
        <f>IFERROR(__xludf.DUMMYFUNCTION("""COMPUTED_VALUE"""),100240.0)</f>
        <v>100240</v>
      </c>
      <c r="B242" s="5" t="str">
        <f>IFERROR(__xludf.DUMMYFUNCTION("""COMPUTED_VALUE"""),"Areeiro-6")</f>
        <v>Areeiro-6</v>
      </c>
      <c r="C242" s="5">
        <f>IFERROR(__xludf.DUMMYFUNCTION("""COMPUTED_VALUE"""),22115.0)</f>
        <v>22115</v>
      </c>
      <c r="D242" s="5" t="str">
        <f>IFERROR(__xludf.DUMMYFUNCTION("""COMPUTED_VALUE"""),"Are-6")</f>
        <v>Are-6</v>
      </c>
      <c r="E242" s="5"/>
      <c r="F242" s="5">
        <f>IFERROR(__xludf.DUMMYFUNCTION("""COMPUTED_VALUE"""),1.0)</f>
        <v>1</v>
      </c>
      <c r="G242" s="5"/>
      <c r="H242" s="5"/>
      <c r="I242" s="5"/>
      <c r="J242" s="5"/>
      <c r="K242" s="5"/>
      <c r="L242" s="5"/>
      <c r="M242" s="5"/>
      <c r="N242" s="5">
        <f>IFERROR(__xludf.DUMMYFUNCTION("""COMPUTED_VALUE"""),106.0)</f>
        <v>106</v>
      </c>
      <c r="O242" s="5"/>
      <c r="P242" s="5"/>
      <c r="Q242" s="5" t="str">
        <f>IFERROR(__xludf.DUMMYFUNCTION("""COMPUTED_VALUE"""),"no")</f>
        <v>no</v>
      </c>
      <c r="R242" s="5" t="str">
        <f>IFERROR(__xludf.DUMMYFUNCTION("""COMPUTED_VALUE"""),"ONT")</f>
        <v>ONT</v>
      </c>
      <c r="S242" s="5" t="str">
        <f>IFERROR(__xludf.DUMMYFUNCTION("""COMPUTED_VALUE"""),"Flye_v2.7")</f>
        <v>Flye_v2.7</v>
      </c>
      <c r="T242" s="6" t="str">
        <f>IFERROR(__xludf.DUMMYFUNCTION("""COMPUTED_VALUE"""),"Pool???")</f>
        <v>Pool???</v>
      </c>
      <c r="U242" s="6">
        <f>IFERROR(__xludf.DUMMYFUNCTION("""COMPUTED_VALUE"""),2024.0)</f>
        <v>2024</v>
      </c>
      <c r="V242" s="6" t="str">
        <f>IFERROR(__xludf.DUMMYFUNCTION("""COMPUTED_VALUE"""),"yes")</f>
        <v>yes</v>
      </c>
      <c r="W242" s="9" t="str">
        <f>IFERROR(__xludf.DUMMYFUNCTION("""COMPUTED_VALUE"""),"Lian")</f>
        <v>Lian</v>
      </c>
      <c r="X242" s="8" t="str">
        <f>IFERROR(__xludf.DUMMYFUNCTION("""COMPUTED_VALUE"""),"2024")</f>
        <v>2024</v>
      </c>
      <c r="Y242" s="8" t="str">
        <f>IFERROR(__xludf.DUMMYFUNCTION("""COMPUTED_VALUE"""),"NatGenet")</f>
        <v>NatGenet</v>
      </c>
      <c r="Z242" s="10" t="str">
        <f>IFERROR(__xludf.DUMMYFUNCTION("""COMPUTED_VALUE"""),"10.1038/s41588-024-01715-9")</f>
        <v>10.1038/s41588-024-01715-9</v>
      </c>
      <c r="AA242" s="10" t="str">
        <f>IFERROR(__xludf.DUMMYFUNCTION("""COMPUTED_VALUE"""),"https://www.nature.com/articles/s41588-024-01715-9")</f>
        <v>https://www.nature.com/articles/s41588-024-01715-9</v>
      </c>
      <c r="AB242" s="5"/>
    </row>
    <row r="243">
      <c r="A243" s="5">
        <f>IFERROR(__xludf.DUMMYFUNCTION("""COMPUTED_VALUE"""),100241.0)</f>
        <v>100241</v>
      </c>
      <c r="B243" s="5" t="str">
        <f>IFERROR(__xludf.DUMMYFUNCTION("""COMPUTED_VALUE"""),"Areeiro-10")</f>
        <v>Areeiro-10</v>
      </c>
      <c r="C243" s="5">
        <f>IFERROR(__xludf.DUMMYFUNCTION("""COMPUTED_VALUE"""),22116.0)</f>
        <v>22116</v>
      </c>
      <c r="D243" s="5" t="str">
        <f>IFERROR(__xludf.DUMMYFUNCTION("""COMPUTED_VALUE"""),"Are-10")</f>
        <v>Are-10</v>
      </c>
      <c r="E243" s="5"/>
      <c r="F243" s="5">
        <f>IFERROR(__xludf.DUMMYFUNCTION("""COMPUTED_VALUE"""),1.0)</f>
        <v>1</v>
      </c>
      <c r="G243" s="5"/>
      <c r="H243" s="5"/>
      <c r="I243" s="5"/>
      <c r="J243" s="5"/>
      <c r="K243" s="5"/>
      <c r="L243" s="5"/>
      <c r="M243" s="5"/>
      <c r="N243" s="5">
        <f>IFERROR(__xludf.DUMMYFUNCTION("""COMPUTED_VALUE"""),47.0)</f>
        <v>47</v>
      </c>
      <c r="O243" s="5"/>
      <c r="P243" s="5"/>
      <c r="Q243" s="5" t="str">
        <f>IFERROR(__xludf.DUMMYFUNCTION("""COMPUTED_VALUE"""),"no")</f>
        <v>no</v>
      </c>
      <c r="R243" s="5" t="str">
        <f>IFERROR(__xludf.DUMMYFUNCTION("""COMPUTED_VALUE"""),"ONT")</f>
        <v>ONT</v>
      </c>
      <c r="S243" s="5" t="str">
        <f>IFERROR(__xludf.DUMMYFUNCTION("""COMPUTED_VALUE"""),"Flye_v2.7")</f>
        <v>Flye_v2.7</v>
      </c>
      <c r="T243" s="6" t="str">
        <f>IFERROR(__xludf.DUMMYFUNCTION("""COMPUTED_VALUE"""),"Pool???")</f>
        <v>Pool???</v>
      </c>
      <c r="U243" s="6">
        <f>IFERROR(__xludf.DUMMYFUNCTION("""COMPUTED_VALUE"""),2024.0)</f>
        <v>2024</v>
      </c>
      <c r="V243" s="6" t="str">
        <f>IFERROR(__xludf.DUMMYFUNCTION("""COMPUTED_VALUE"""),"yes")</f>
        <v>yes</v>
      </c>
      <c r="W243" s="9" t="str">
        <f>IFERROR(__xludf.DUMMYFUNCTION("""COMPUTED_VALUE"""),"Lian")</f>
        <v>Lian</v>
      </c>
      <c r="X243" s="8" t="str">
        <f>IFERROR(__xludf.DUMMYFUNCTION("""COMPUTED_VALUE"""),"2024")</f>
        <v>2024</v>
      </c>
      <c r="Y243" s="8" t="str">
        <f>IFERROR(__xludf.DUMMYFUNCTION("""COMPUTED_VALUE"""),"NatGenet")</f>
        <v>NatGenet</v>
      </c>
      <c r="Z243" s="10" t="str">
        <f>IFERROR(__xludf.DUMMYFUNCTION("""COMPUTED_VALUE"""),"10.1038/s41588-024-01715-9")</f>
        <v>10.1038/s41588-024-01715-9</v>
      </c>
      <c r="AA243" s="10" t="str">
        <f>IFERROR(__xludf.DUMMYFUNCTION("""COMPUTED_VALUE"""),"https://www.nature.com/articles/s41588-024-01715-9")</f>
        <v>https://www.nature.com/articles/s41588-024-01715-9</v>
      </c>
      <c r="AB243" s="5"/>
    </row>
    <row r="244">
      <c r="A244" s="5">
        <f>IFERROR(__xludf.DUMMYFUNCTION("""COMPUTED_VALUE"""),100242.0)</f>
        <v>100242</v>
      </c>
      <c r="B244" s="5" t="str">
        <f>IFERROR(__xludf.DUMMYFUNCTION("""COMPUTED_VALUE"""),"Bay-0")</f>
        <v>Bay-0</v>
      </c>
      <c r="C244" s="5">
        <f>IFERROR(__xludf.DUMMYFUNCTION("""COMPUTED_VALUE"""),6899.0)</f>
        <v>6899</v>
      </c>
      <c r="D244" s="5"/>
      <c r="E244" s="5"/>
      <c r="F244" s="5">
        <f>IFERROR(__xludf.DUMMYFUNCTION("""COMPUTED_VALUE"""),1.0)</f>
        <v>1</v>
      </c>
      <c r="G244" s="5"/>
      <c r="H244" s="5"/>
      <c r="I244" s="5"/>
      <c r="J244" s="5"/>
      <c r="K244" s="5"/>
      <c r="L244" s="5"/>
      <c r="M244" s="5"/>
      <c r="N244" s="5">
        <f>IFERROR(__xludf.DUMMYFUNCTION("""COMPUTED_VALUE"""),69.0)</f>
        <v>69</v>
      </c>
      <c r="O244" s="5"/>
      <c r="P244" s="5"/>
      <c r="Q244" s="5" t="str">
        <f>IFERROR(__xludf.DUMMYFUNCTION("""COMPUTED_VALUE"""),"no")</f>
        <v>no</v>
      </c>
      <c r="R244" s="5" t="str">
        <f>IFERROR(__xludf.DUMMYFUNCTION("""COMPUTED_VALUE"""),"ONT")</f>
        <v>ONT</v>
      </c>
      <c r="S244" s="5" t="str">
        <f>IFERROR(__xludf.DUMMYFUNCTION("""COMPUTED_VALUE"""),"Flye_v2.7")</f>
        <v>Flye_v2.7</v>
      </c>
      <c r="T244" s="6" t="str">
        <f>IFERROR(__xludf.DUMMYFUNCTION("""COMPUTED_VALUE"""),"Pool???")</f>
        <v>Pool???</v>
      </c>
      <c r="U244" s="6">
        <f>IFERROR(__xludf.DUMMYFUNCTION("""COMPUTED_VALUE"""),2024.0)</f>
        <v>2024</v>
      </c>
      <c r="V244" s="6" t="str">
        <f>IFERROR(__xludf.DUMMYFUNCTION("""COMPUTED_VALUE"""),"yes")</f>
        <v>yes</v>
      </c>
      <c r="W244" s="9" t="str">
        <f>IFERROR(__xludf.DUMMYFUNCTION("""COMPUTED_VALUE"""),"Lian")</f>
        <v>Lian</v>
      </c>
      <c r="X244" s="8" t="str">
        <f>IFERROR(__xludf.DUMMYFUNCTION("""COMPUTED_VALUE"""),"2024")</f>
        <v>2024</v>
      </c>
      <c r="Y244" s="8" t="str">
        <f>IFERROR(__xludf.DUMMYFUNCTION("""COMPUTED_VALUE"""),"NatGenet")</f>
        <v>NatGenet</v>
      </c>
      <c r="Z244" s="10" t="str">
        <f>IFERROR(__xludf.DUMMYFUNCTION("""COMPUTED_VALUE"""),"10.1038/s41588-024-01715-9")</f>
        <v>10.1038/s41588-024-01715-9</v>
      </c>
      <c r="AA244" s="10" t="str">
        <f>IFERROR(__xludf.DUMMYFUNCTION("""COMPUTED_VALUE"""),"https://www.nature.com/articles/s41588-024-01715-9")</f>
        <v>https://www.nature.com/articles/s41588-024-01715-9</v>
      </c>
      <c r="AB244" s="5"/>
    </row>
    <row r="245">
      <c r="A245" s="5">
        <f>IFERROR(__xludf.DUMMYFUNCTION("""COMPUTED_VALUE"""),100243.0)</f>
        <v>100243</v>
      </c>
      <c r="B245" s="5" t="str">
        <f>IFERROR(__xludf.DUMMYFUNCTION("""COMPUTED_VALUE"""),"Bla-1")</f>
        <v>Bla-1</v>
      </c>
      <c r="C245" s="5">
        <f>IFERROR(__xludf.DUMMYFUNCTION("""COMPUTED_VALUE"""),7015.0)</f>
        <v>7015</v>
      </c>
      <c r="D245" s="5"/>
      <c r="E245" s="5"/>
      <c r="F245" s="5">
        <f>IFERROR(__xludf.DUMMYFUNCTION("""COMPUTED_VALUE"""),1.0)</f>
        <v>1</v>
      </c>
      <c r="G245" s="5"/>
      <c r="H245" s="5"/>
      <c r="I245" s="5"/>
      <c r="J245" s="5"/>
      <c r="K245" s="5"/>
      <c r="L245" s="5"/>
      <c r="M245" s="5"/>
      <c r="N245" s="5">
        <f>IFERROR(__xludf.DUMMYFUNCTION("""COMPUTED_VALUE"""),49.0)</f>
        <v>49</v>
      </c>
      <c r="O245" s="5"/>
      <c r="P245" s="5"/>
      <c r="Q245" s="5" t="str">
        <f>IFERROR(__xludf.DUMMYFUNCTION("""COMPUTED_VALUE"""),"no")</f>
        <v>no</v>
      </c>
      <c r="R245" s="5" t="str">
        <f>IFERROR(__xludf.DUMMYFUNCTION("""COMPUTED_VALUE"""),"ONT")</f>
        <v>ONT</v>
      </c>
      <c r="S245" s="5" t="str">
        <f>IFERROR(__xludf.DUMMYFUNCTION("""COMPUTED_VALUE"""),"Flye_v2.7")</f>
        <v>Flye_v2.7</v>
      </c>
      <c r="T245" s="6" t="str">
        <f>IFERROR(__xludf.DUMMYFUNCTION("""COMPUTED_VALUE"""),"Pool???")</f>
        <v>Pool???</v>
      </c>
      <c r="U245" s="6">
        <f>IFERROR(__xludf.DUMMYFUNCTION("""COMPUTED_VALUE"""),2024.0)</f>
        <v>2024</v>
      </c>
      <c r="V245" s="6" t="str">
        <f>IFERROR(__xludf.DUMMYFUNCTION("""COMPUTED_VALUE"""),"yes")</f>
        <v>yes</v>
      </c>
      <c r="W245" s="9" t="str">
        <f>IFERROR(__xludf.DUMMYFUNCTION("""COMPUTED_VALUE"""),"Lian")</f>
        <v>Lian</v>
      </c>
      <c r="X245" s="8" t="str">
        <f>IFERROR(__xludf.DUMMYFUNCTION("""COMPUTED_VALUE"""),"2024")</f>
        <v>2024</v>
      </c>
      <c r="Y245" s="8" t="str">
        <f>IFERROR(__xludf.DUMMYFUNCTION("""COMPUTED_VALUE"""),"NatGenet")</f>
        <v>NatGenet</v>
      </c>
      <c r="Z245" s="10" t="str">
        <f>IFERROR(__xludf.DUMMYFUNCTION("""COMPUTED_VALUE"""),"10.1038/s41588-024-01715-9")</f>
        <v>10.1038/s41588-024-01715-9</v>
      </c>
      <c r="AA245" s="10" t="str">
        <f>IFERROR(__xludf.DUMMYFUNCTION("""COMPUTED_VALUE"""),"https://www.nature.com/articles/s41588-024-01715-9")</f>
        <v>https://www.nature.com/articles/s41588-024-01715-9</v>
      </c>
      <c r="AB245" s="5"/>
    </row>
    <row r="246">
      <c r="A246" s="5">
        <f>IFERROR(__xludf.DUMMYFUNCTION("""COMPUTED_VALUE"""),100244.0)</f>
        <v>100244</v>
      </c>
      <c r="B246" s="5" t="str">
        <f>IFERROR(__xludf.DUMMYFUNCTION("""COMPUTED_VALUE"""),"Blh-1")</f>
        <v>Blh-1</v>
      </c>
      <c r="C246" s="5">
        <f>IFERROR(__xludf.DUMMYFUNCTION("""COMPUTED_VALUE"""),7034.0)</f>
        <v>7034</v>
      </c>
      <c r="D246" s="5"/>
      <c r="E246" s="5"/>
      <c r="F246" s="5">
        <f>IFERROR(__xludf.DUMMYFUNCTION("""COMPUTED_VALUE"""),1.0)</f>
        <v>1</v>
      </c>
      <c r="G246" s="5"/>
      <c r="H246" s="5"/>
      <c r="I246" s="5"/>
      <c r="J246" s="5"/>
      <c r="K246" s="5"/>
      <c r="L246" s="5"/>
      <c r="M246" s="5"/>
      <c r="N246" s="5">
        <f>IFERROR(__xludf.DUMMYFUNCTION("""COMPUTED_VALUE"""),64.0)</f>
        <v>64</v>
      </c>
      <c r="O246" s="5"/>
      <c r="P246" s="5"/>
      <c r="Q246" s="5" t="str">
        <f>IFERROR(__xludf.DUMMYFUNCTION("""COMPUTED_VALUE"""),"no")</f>
        <v>no</v>
      </c>
      <c r="R246" s="5" t="str">
        <f>IFERROR(__xludf.DUMMYFUNCTION("""COMPUTED_VALUE"""),"ONT")</f>
        <v>ONT</v>
      </c>
      <c r="S246" s="5" t="str">
        <f>IFERROR(__xludf.DUMMYFUNCTION("""COMPUTED_VALUE"""),"Flye_v2.7")</f>
        <v>Flye_v2.7</v>
      </c>
      <c r="T246" s="6" t="str">
        <f>IFERROR(__xludf.DUMMYFUNCTION("""COMPUTED_VALUE"""),"Pool???")</f>
        <v>Pool???</v>
      </c>
      <c r="U246" s="6">
        <f>IFERROR(__xludf.DUMMYFUNCTION("""COMPUTED_VALUE"""),2024.0)</f>
        <v>2024</v>
      </c>
      <c r="V246" s="6" t="str">
        <f>IFERROR(__xludf.DUMMYFUNCTION("""COMPUTED_VALUE"""),"yes")</f>
        <v>yes</v>
      </c>
      <c r="W246" s="9" t="str">
        <f>IFERROR(__xludf.DUMMYFUNCTION("""COMPUTED_VALUE"""),"Lian")</f>
        <v>Lian</v>
      </c>
      <c r="X246" s="8" t="str">
        <f>IFERROR(__xludf.DUMMYFUNCTION("""COMPUTED_VALUE"""),"2024")</f>
        <v>2024</v>
      </c>
      <c r="Y246" s="8" t="str">
        <f>IFERROR(__xludf.DUMMYFUNCTION("""COMPUTED_VALUE"""),"NatGenet")</f>
        <v>NatGenet</v>
      </c>
      <c r="Z246" s="10" t="str">
        <f>IFERROR(__xludf.DUMMYFUNCTION("""COMPUTED_VALUE"""),"10.1038/s41588-024-01715-9")</f>
        <v>10.1038/s41588-024-01715-9</v>
      </c>
      <c r="AA246" s="10" t="str">
        <f>IFERROR(__xludf.DUMMYFUNCTION("""COMPUTED_VALUE"""),"https://www.nature.com/articles/s41588-024-01715-9")</f>
        <v>https://www.nature.com/articles/s41588-024-01715-9</v>
      </c>
      <c r="AB246" s="5"/>
    </row>
    <row r="247">
      <c r="A247" s="5">
        <f>IFERROR(__xludf.DUMMYFUNCTION("""COMPUTED_VALUE"""),100245.0)</f>
        <v>100245</v>
      </c>
      <c r="B247" s="5" t="str">
        <f>IFERROR(__xludf.DUMMYFUNCTION("""COMPUTED_VALUE"""),"Bur-0")</f>
        <v>Bur-0</v>
      </c>
      <c r="C247" s="5">
        <f>IFERROR(__xludf.DUMMYFUNCTION("""COMPUTED_VALUE"""),7058.0)</f>
        <v>7058</v>
      </c>
      <c r="D247" s="5"/>
      <c r="E247" s="5"/>
      <c r="F247" s="5">
        <f>IFERROR(__xludf.DUMMYFUNCTION("""COMPUTED_VALUE"""),1.0)</f>
        <v>1</v>
      </c>
      <c r="G247" s="5"/>
      <c r="H247" s="5"/>
      <c r="I247" s="5"/>
      <c r="J247" s="5"/>
      <c r="K247" s="5"/>
      <c r="L247" s="5"/>
      <c r="M247" s="5"/>
      <c r="N247" s="5">
        <f>IFERROR(__xludf.DUMMYFUNCTION("""COMPUTED_VALUE"""),63.0)</f>
        <v>63</v>
      </c>
      <c r="O247" s="5"/>
      <c r="P247" s="5"/>
      <c r="Q247" s="5" t="str">
        <f>IFERROR(__xludf.DUMMYFUNCTION("""COMPUTED_VALUE"""),"no")</f>
        <v>no</v>
      </c>
      <c r="R247" s="5" t="str">
        <f>IFERROR(__xludf.DUMMYFUNCTION("""COMPUTED_VALUE"""),"ONT")</f>
        <v>ONT</v>
      </c>
      <c r="S247" s="5" t="str">
        <f>IFERROR(__xludf.DUMMYFUNCTION("""COMPUTED_VALUE"""),"Flye_v2.7")</f>
        <v>Flye_v2.7</v>
      </c>
      <c r="T247" s="6" t="str">
        <f>IFERROR(__xludf.DUMMYFUNCTION("""COMPUTED_VALUE"""),"Pool???")</f>
        <v>Pool???</v>
      </c>
      <c r="U247" s="6">
        <f>IFERROR(__xludf.DUMMYFUNCTION("""COMPUTED_VALUE"""),2024.0)</f>
        <v>2024</v>
      </c>
      <c r="V247" s="6" t="str">
        <f>IFERROR(__xludf.DUMMYFUNCTION("""COMPUTED_VALUE"""),"yes")</f>
        <v>yes</v>
      </c>
      <c r="W247" s="9" t="str">
        <f>IFERROR(__xludf.DUMMYFUNCTION("""COMPUTED_VALUE"""),"Lian")</f>
        <v>Lian</v>
      </c>
      <c r="X247" s="8" t="str">
        <f>IFERROR(__xludf.DUMMYFUNCTION("""COMPUTED_VALUE"""),"2024")</f>
        <v>2024</v>
      </c>
      <c r="Y247" s="8" t="str">
        <f>IFERROR(__xludf.DUMMYFUNCTION("""COMPUTED_VALUE"""),"NatGenet")</f>
        <v>NatGenet</v>
      </c>
      <c r="Z247" s="10" t="str">
        <f>IFERROR(__xludf.DUMMYFUNCTION("""COMPUTED_VALUE"""),"10.1038/s41588-024-01715-9")</f>
        <v>10.1038/s41588-024-01715-9</v>
      </c>
      <c r="AA247" s="10" t="str">
        <f>IFERROR(__xludf.DUMMYFUNCTION("""COMPUTED_VALUE"""),"https://www.nature.com/articles/s41588-024-01715-9")</f>
        <v>https://www.nature.com/articles/s41588-024-01715-9</v>
      </c>
      <c r="AB247" s="5"/>
    </row>
    <row r="248">
      <c r="A248" s="5">
        <f>IFERROR(__xludf.DUMMYFUNCTION("""COMPUTED_VALUE"""),100246.0)</f>
        <v>100246</v>
      </c>
      <c r="B248" s="5" t="str">
        <f>IFERROR(__xludf.DUMMYFUNCTION("""COMPUTED_VALUE"""),"Cant-1")</f>
        <v>Cant-1</v>
      </c>
      <c r="C248" s="5">
        <f>IFERROR(__xludf.DUMMYFUNCTION("""COMPUTED_VALUE"""),9194.0)</f>
        <v>9194</v>
      </c>
      <c r="D248" s="5"/>
      <c r="E248" s="5"/>
      <c r="F248" s="5">
        <f>IFERROR(__xludf.DUMMYFUNCTION("""COMPUTED_VALUE"""),1.0)</f>
        <v>1</v>
      </c>
      <c r="G248" s="5"/>
      <c r="H248" s="5"/>
      <c r="I248" s="5"/>
      <c r="J248" s="5"/>
      <c r="K248" s="5"/>
      <c r="L248" s="5"/>
      <c r="M248" s="5"/>
      <c r="N248" s="5">
        <f>IFERROR(__xludf.DUMMYFUNCTION("""COMPUTED_VALUE"""),171.0)</f>
        <v>171</v>
      </c>
      <c r="O248" s="5"/>
      <c r="P248" s="5"/>
      <c r="Q248" s="5" t="str">
        <f>IFERROR(__xludf.DUMMYFUNCTION("""COMPUTED_VALUE"""),"no")</f>
        <v>no</v>
      </c>
      <c r="R248" s="5" t="str">
        <f>IFERROR(__xludf.DUMMYFUNCTION("""COMPUTED_VALUE"""),"ONT")</f>
        <v>ONT</v>
      </c>
      <c r="S248" s="5" t="str">
        <f>IFERROR(__xludf.DUMMYFUNCTION("""COMPUTED_VALUE"""),"Flye_v2.7")</f>
        <v>Flye_v2.7</v>
      </c>
      <c r="T248" s="6" t="str">
        <f>IFERROR(__xludf.DUMMYFUNCTION("""COMPUTED_VALUE"""),"Pool???")</f>
        <v>Pool???</v>
      </c>
      <c r="U248" s="6">
        <f>IFERROR(__xludf.DUMMYFUNCTION("""COMPUTED_VALUE"""),2024.0)</f>
        <v>2024</v>
      </c>
      <c r="V248" s="6" t="str">
        <f>IFERROR(__xludf.DUMMYFUNCTION("""COMPUTED_VALUE"""),"yes")</f>
        <v>yes</v>
      </c>
      <c r="W248" s="9" t="str">
        <f>IFERROR(__xludf.DUMMYFUNCTION("""COMPUTED_VALUE"""),"Lian")</f>
        <v>Lian</v>
      </c>
      <c r="X248" s="8" t="str">
        <f>IFERROR(__xludf.DUMMYFUNCTION("""COMPUTED_VALUE"""),"2024")</f>
        <v>2024</v>
      </c>
      <c r="Y248" s="8" t="str">
        <f>IFERROR(__xludf.DUMMYFUNCTION("""COMPUTED_VALUE"""),"NatGenet")</f>
        <v>NatGenet</v>
      </c>
      <c r="Z248" s="10" t="str">
        <f>IFERROR(__xludf.DUMMYFUNCTION("""COMPUTED_VALUE"""),"10.1038/s41588-024-01715-9")</f>
        <v>10.1038/s41588-024-01715-9</v>
      </c>
      <c r="AA248" s="10" t="str">
        <f>IFERROR(__xludf.DUMMYFUNCTION("""COMPUTED_VALUE"""),"https://www.nature.com/articles/s41588-024-01715-9")</f>
        <v>https://www.nature.com/articles/s41588-024-01715-9</v>
      </c>
      <c r="AB248" s="5"/>
    </row>
    <row r="249">
      <c r="A249" s="5">
        <f>IFERROR(__xludf.DUMMYFUNCTION("""COMPUTED_VALUE"""),100247.0)</f>
        <v>100247</v>
      </c>
      <c r="B249" s="5" t="str">
        <f>IFERROR(__xludf.DUMMYFUNCTION("""COMPUTED_VALUE"""),"Can-0")</f>
        <v>Can-0</v>
      </c>
      <c r="C249" s="5">
        <f>IFERROR(__xludf.DUMMYFUNCTION("""COMPUTED_VALUE"""),7063.0)</f>
        <v>7063</v>
      </c>
      <c r="D249" s="5"/>
      <c r="E249" s="5"/>
      <c r="F249" s="5">
        <f>IFERROR(__xludf.DUMMYFUNCTION("""COMPUTED_VALUE"""),1.0)</f>
        <v>1</v>
      </c>
      <c r="G249" s="5"/>
      <c r="H249" s="5" t="b">
        <f>IFERROR(__xludf.DUMMYFUNCTION("""COMPUTED_VALUE"""),FALSE)</f>
        <v>0</v>
      </c>
      <c r="I249" s="5"/>
      <c r="J249" s="5"/>
      <c r="K249" s="5"/>
      <c r="L249" s="5"/>
      <c r="M249" s="5"/>
      <c r="N249" s="5">
        <f>IFERROR(__xludf.DUMMYFUNCTION("""COMPUTED_VALUE"""),68.0)</f>
        <v>68</v>
      </c>
      <c r="O249" s="5"/>
      <c r="P249" s="5"/>
      <c r="Q249" s="5" t="str">
        <f>IFERROR(__xludf.DUMMYFUNCTION("""COMPUTED_VALUE"""),"no")</f>
        <v>no</v>
      </c>
      <c r="R249" s="5" t="str">
        <f>IFERROR(__xludf.DUMMYFUNCTION("""COMPUTED_VALUE"""),"ONT")</f>
        <v>ONT</v>
      </c>
      <c r="S249" s="5" t="str">
        <f>IFERROR(__xludf.DUMMYFUNCTION("""COMPUTED_VALUE"""),"Flye_v2.7")</f>
        <v>Flye_v2.7</v>
      </c>
      <c r="T249" s="6" t="str">
        <f>IFERROR(__xludf.DUMMYFUNCTION("""COMPUTED_VALUE"""),"Pool???")</f>
        <v>Pool???</v>
      </c>
      <c r="U249" s="6">
        <f>IFERROR(__xludf.DUMMYFUNCTION("""COMPUTED_VALUE"""),2024.0)</f>
        <v>2024</v>
      </c>
      <c r="V249" s="6" t="str">
        <f>IFERROR(__xludf.DUMMYFUNCTION("""COMPUTED_VALUE"""),"yes")</f>
        <v>yes</v>
      </c>
      <c r="W249" s="9" t="str">
        <f>IFERROR(__xludf.DUMMYFUNCTION("""COMPUTED_VALUE"""),"Lian")</f>
        <v>Lian</v>
      </c>
      <c r="X249" s="8" t="str">
        <f>IFERROR(__xludf.DUMMYFUNCTION("""COMPUTED_VALUE"""),"2024")</f>
        <v>2024</v>
      </c>
      <c r="Y249" s="8" t="str">
        <f>IFERROR(__xludf.DUMMYFUNCTION("""COMPUTED_VALUE"""),"NatGenet")</f>
        <v>NatGenet</v>
      </c>
      <c r="Z249" s="10" t="str">
        <f>IFERROR(__xludf.DUMMYFUNCTION("""COMPUTED_VALUE"""),"10.1038/s41588-024-01715-9")</f>
        <v>10.1038/s41588-024-01715-9</v>
      </c>
      <c r="AA249" s="10" t="str">
        <f>IFERROR(__xludf.DUMMYFUNCTION("""COMPUTED_VALUE"""),"https://www.nature.com/articles/s41588-024-01715-9")</f>
        <v>https://www.nature.com/articles/s41588-024-01715-9</v>
      </c>
      <c r="AB249" s="5"/>
    </row>
    <row r="250">
      <c r="A250" s="5">
        <f>IFERROR(__xludf.DUMMYFUNCTION("""COMPUTED_VALUE"""),100248.0)</f>
        <v>100248</v>
      </c>
      <c r="B250" s="5" t="str">
        <f>IFERROR(__xludf.DUMMYFUNCTION("""COMPUTED_VALUE"""),"Col-0")</f>
        <v>Col-0</v>
      </c>
      <c r="C250" s="5">
        <f>IFERROR(__xludf.DUMMYFUNCTION("""COMPUTED_VALUE"""),6909.0)</f>
        <v>6909</v>
      </c>
      <c r="D250" s="5"/>
      <c r="E250" s="5"/>
      <c r="F250" s="5">
        <f>IFERROR(__xludf.DUMMYFUNCTION("""COMPUTED_VALUE"""),1.0)</f>
        <v>1</v>
      </c>
      <c r="G250" s="5"/>
      <c r="H250" s="5" t="b">
        <f>IFERROR(__xludf.DUMMYFUNCTION("""COMPUTED_VALUE"""),FALSE)</f>
        <v>0</v>
      </c>
      <c r="I250" s="5"/>
      <c r="J250" s="5"/>
      <c r="K250" s="5"/>
      <c r="L250" s="5"/>
      <c r="M250" s="5"/>
      <c r="N250" s="5">
        <f>IFERROR(__xludf.DUMMYFUNCTION("""COMPUTED_VALUE"""),52.0)</f>
        <v>52</v>
      </c>
      <c r="O250" s="5"/>
      <c r="P250" s="5"/>
      <c r="Q250" s="5" t="str">
        <f>IFERROR(__xludf.DUMMYFUNCTION("""COMPUTED_VALUE"""),"no")</f>
        <v>no</v>
      </c>
      <c r="R250" s="5" t="str">
        <f>IFERROR(__xludf.DUMMYFUNCTION("""COMPUTED_VALUE"""),"ONT")</f>
        <v>ONT</v>
      </c>
      <c r="S250" s="5" t="str">
        <f>IFERROR(__xludf.DUMMYFUNCTION("""COMPUTED_VALUE"""),"Flye_v2.7")</f>
        <v>Flye_v2.7</v>
      </c>
      <c r="T250" s="6" t="str">
        <f>IFERROR(__xludf.DUMMYFUNCTION("""COMPUTED_VALUE"""),"Pool???")</f>
        <v>Pool???</v>
      </c>
      <c r="U250" s="6">
        <f>IFERROR(__xludf.DUMMYFUNCTION("""COMPUTED_VALUE"""),2024.0)</f>
        <v>2024</v>
      </c>
      <c r="V250" s="6" t="str">
        <f>IFERROR(__xludf.DUMMYFUNCTION("""COMPUTED_VALUE"""),"yes")</f>
        <v>yes</v>
      </c>
      <c r="W250" s="9" t="str">
        <f>IFERROR(__xludf.DUMMYFUNCTION("""COMPUTED_VALUE"""),"Lian")</f>
        <v>Lian</v>
      </c>
      <c r="X250" s="8" t="str">
        <f>IFERROR(__xludf.DUMMYFUNCTION("""COMPUTED_VALUE"""),"2024")</f>
        <v>2024</v>
      </c>
      <c r="Y250" s="8" t="str">
        <f>IFERROR(__xludf.DUMMYFUNCTION("""COMPUTED_VALUE"""),"NatGenet")</f>
        <v>NatGenet</v>
      </c>
      <c r="Z250" s="10" t="str">
        <f>IFERROR(__xludf.DUMMYFUNCTION("""COMPUTED_VALUE"""),"10.1038/s41588-024-01715-9")</f>
        <v>10.1038/s41588-024-01715-9</v>
      </c>
      <c r="AA250" s="10" t="str">
        <f>IFERROR(__xludf.DUMMYFUNCTION("""COMPUTED_VALUE"""),"https://www.nature.com/articles/s41588-024-01715-9")</f>
        <v>https://www.nature.com/articles/s41588-024-01715-9</v>
      </c>
      <c r="AB250" s="5"/>
    </row>
    <row r="251">
      <c r="A251" s="5">
        <f>IFERROR(__xludf.DUMMYFUNCTION("""COMPUTED_VALUE"""),100249.0)</f>
        <v>100249</v>
      </c>
      <c r="B251" s="5" t="str">
        <f>IFERROR(__xludf.DUMMYFUNCTION("""COMPUTED_VALUE"""),"Ct-1")</f>
        <v>Ct-1</v>
      </c>
      <c r="C251" s="5">
        <f>IFERROR(__xludf.DUMMYFUNCTION("""COMPUTED_VALUE"""),7067.0)</f>
        <v>7067</v>
      </c>
      <c r="D251" s="5"/>
      <c r="E251" s="5"/>
      <c r="F251" s="5">
        <f>IFERROR(__xludf.DUMMYFUNCTION("""COMPUTED_VALUE"""),1.0)</f>
        <v>1</v>
      </c>
      <c r="G251" s="5"/>
      <c r="H251" s="5"/>
      <c r="I251" s="5"/>
      <c r="J251" s="5"/>
      <c r="K251" s="5"/>
      <c r="L251" s="5"/>
      <c r="M251" s="5"/>
      <c r="N251" s="5">
        <f>IFERROR(__xludf.DUMMYFUNCTION("""COMPUTED_VALUE"""),95.0)</f>
        <v>95</v>
      </c>
      <c r="O251" s="5"/>
      <c r="P251" s="5"/>
      <c r="Q251" s="5" t="str">
        <f>IFERROR(__xludf.DUMMYFUNCTION("""COMPUTED_VALUE"""),"no")</f>
        <v>no</v>
      </c>
      <c r="R251" s="5" t="str">
        <f>IFERROR(__xludf.DUMMYFUNCTION("""COMPUTED_VALUE"""),"ONT")</f>
        <v>ONT</v>
      </c>
      <c r="S251" s="5" t="str">
        <f>IFERROR(__xludf.DUMMYFUNCTION("""COMPUTED_VALUE"""),"Flye_v2.7")</f>
        <v>Flye_v2.7</v>
      </c>
      <c r="T251" s="6" t="str">
        <f>IFERROR(__xludf.DUMMYFUNCTION("""COMPUTED_VALUE"""),"Pool???")</f>
        <v>Pool???</v>
      </c>
      <c r="U251" s="6">
        <f>IFERROR(__xludf.DUMMYFUNCTION("""COMPUTED_VALUE"""),2024.0)</f>
        <v>2024</v>
      </c>
      <c r="V251" s="6" t="str">
        <f>IFERROR(__xludf.DUMMYFUNCTION("""COMPUTED_VALUE"""),"yes")</f>
        <v>yes</v>
      </c>
      <c r="W251" s="9" t="str">
        <f>IFERROR(__xludf.DUMMYFUNCTION("""COMPUTED_VALUE"""),"Lian")</f>
        <v>Lian</v>
      </c>
      <c r="X251" s="8" t="str">
        <f>IFERROR(__xludf.DUMMYFUNCTION("""COMPUTED_VALUE"""),"2024")</f>
        <v>2024</v>
      </c>
      <c r="Y251" s="8" t="str">
        <f>IFERROR(__xludf.DUMMYFUNCTION("""COMPUTED_VALUE"""),"NatGenet")</f>
        <v>NatGenet</v>
      </c>
      <c r="Z251" s="10" t="str">
        <f>IFERROR(__xludf.DUMMYFUNCTION("""COMPUTED_VALUE"""),"10.1038/s41588-024-01715-9")</f>
        <v>10.1038/s41588-024-01715-9</v>
      </c>
      <c r="AA251" s="10" t="str">
        <f>IFERROR(__xludf.DUMMYFUNCTION("""COMPUTED_VALUE"""),"https://www.nature.com/articles/s41588-024-01715-9")</f>
        <v>https://www.nature.com/articles/s41588-024-01715-9</v>
      </c>
      <c r="AB251" s="5"/>
    </row>
    <row r="252">
      <c r="A252" s="5">
        <f>IFERROR(__xludf.DUMMYFUNCTION("""COMPUTED_VALUE"""),100250.0)</f>
        <v>100250</v>
      </c>
      <c r="B252" s="5" t="str">
        <f>IFERROR(__xludf.DUMMYFUNCTION("""COMPUTED_VALUE"""),"Cvi-0")</f>
        <v>Cvi-0</v>
      </c>
      <c r="C252" s="5">
        <f>IFERROR(__xludf.DUMMYFUNCTION("""COMPUTED_VALUE"""),6911.0)</f>
        <v>6911</v>
      </c>
      <c r="D252" s="5"/>
      <c r="E252" s="5"/>
      <c r="F252" s="5">
        <f>IFERROR(__xludf.DUMMYFUNCTION("""COMPUTED_VALUE"""),1.0)</f>
        <v>1</v>
      </c>
      <c r="G252" s="5"/>
      <c r="H252" s="5"/>
      <c r="I252" s="5"/>
      <c r="J252" s="5"/>
      <c r="K252" s="5"/>
      <c r="L252" s="5"/>
      <c r="M252" s="5"/>
      <c r="N252" s="5">
        <f>IFERROR(__xludf.DUMMYFUNCTION("""COMPUTED_VALUE"""),67.0)</f>
        <v>67</v>
      </c>
      <c r="O252" s="5"/>
      <c r="P252" s="5"/>
      <c r="Q252" s="5" t="str">
        <f>IFERROR(__xludf.DUMMYFUNCTION("""COMPUTED_VALUE"""),"no")</f>
        <v>no</v>
      </c>
      <c r="R252" s="5" t="str">
        <f>IFERROR(__xludf.DUMMYFUNCTION("""COMPUTED_VALUE"""),"ONT")</f>
        <v>ONT</v>
      </c>
      <c r="S252" s="5" t="str">
        <f>IFERROR(__xludf.DUMMYFUNCTION("""COMPUTED_VALUE"""),"Flye_v2.7")</f>
        <v>Flye_v2.7</v>
      </c>
      <c r="T252" s="6" t="str">
        <f>IFERROR(__xludf.DUMMYFUNCTION("""COMPUTED_VALUE"""),"Pool???")</f>
        <v>Pool???</v>
      </c>
      <c r="U252" s="6">
        <f>IFERROR(__xludf.DUMMYFUNCTION("""COMPUTED_VALUE"""),2024.0)</f>
        <v>2024</v>
      </c>
      <c r="V252" s="6" t="str">
        <f>IFERROR(__xludf.DUMMYFUNCTION("""COMPUTED_VALUE"""),"yes")</f>
        <v>yes</v>
      </c>
      <c r="W252" s="9" t="str">
        <f>IFERROR(__xludf.DUMMYFUNCTION("""COMPUTED_VALUE"""),"Lian")</f>
        <v>Lian</v>
      </c>
      <c r="X252" s="8" t="str">
        <f>IFERROR(__xludf.DUMMYFUNCTION("""COMPUTED_VALUE"""),"2024")</f>
        <v>2024</v>
      </c>
      <c r="Y252" s="8" t="str">
        <f>IFERROR(__xludf.DUMMYFUNCTION("""COMPUTED_VALUE"""),"NatGenet")</f>
        <v>NatGenet</v>
      </c>
      <c r="Z252" s="10" t="str">
        <f>IFERROR(__xludf.DUMMYFUNCTION("""COMPUTED_VALUE"""),"10.1038/s41588-024-01715-9")</f>
        <v>10.1038/s41588-024-01715-9</v>
      </c>
      <c r="AA252" s="10" t="str">
        <f>IFERROR(__xludf.DUMMYFUNCTION("""COMPUTED_VALUE"""),"https://www.nature.com/articles/s41588-024-01715-9")</f>
        <v>https://www.nature.com/articles/s41588-024-01715-9</v>
      </c>
      <c r="AB252" s="5"/>
    </row>
    <row r="253">
      <c r="A253" s="5">
        <f>IFERROR(__xludf.DUMMYFUNCTION("""COMPUTED_VALUE"""),100251.0)</f>
        <v>100251</v>
      </c>
      <c r="B253" s="5" t="str">
        <f>IFERROR(__xludf.DUMMYFUNCTION("""COMPUTED_VALUE"""),"Ge-0")</f>
        <v>Ge-0</v>
      </c>
      <c r="C253" s="5">
        <f>IFERROR(__xludf.DUMMYFUNCTION("""COMPUTED_VALUE"""),8297.0)</f>
        <v>8297</v>
      </c>
      <c r="D253" s="5"/>
      <c r="E253" s="5"/>
      <c r="F253" s="5">
        <f>IFERROR(__xludf.DUMMYFUNCTION("""COMPUTED_VALUE"""),1.0)</f>
        <v>1</v>
      </c>
      <c r="G253" s="5"/>
      <c r="H253" s="5"/>
      <c r="I253" s="5"/>
      <c r="J253" s="5"/>
      <c r="K253" s="5"/>
      <c r="L253" s="5"/>
      <c r="M253" s="5"/>
      <c r="N253" s="5">
        <f>IFERROR(__xludf.DUMMYFUNCTION("""COMPUTED_VALUE"""),60.0)</f>
        <v>60</v>
      </c>
      <c r="O253" s="5"/>
      <c r="P253" s="5"/>
      <c r="Q253" s="5" t="str">
        <f>IFERROR(__xludf.DUMMYFUNCTION("""COMPUTED_VALUE"""),"no")</f>
        <v>no</v>
      </c>
      <c r="R253" s="5" t="str">
        <f>IFERROR(__xludf.DUMMYFUNCTION("""COMPUTED_VALUE"""),"ONT")</f>
        <v>ONT</v>
      </c>
      <c r="S253" s="5" t="str">
        <f>IFERROR(__xludf.DUMMYFUNCTION("""COMPUTED_VALUE"""),"Flye_v2.7")</f>
        <v>Flye_v2.7</v>
      </c>
      <c r="T253" s="6" t="str">
        <f>IFERROR(__xludf.DUMMYFUNCTION("""COMPUTED_VALUE"""),"Pool???")</f>
        <v>Pool???</v>
      </c>
      <c r="U253" s="6">
        <f>IFERROR(__xludf.DUMMYFUNCTION("""COMPUTED_VALUE"""),2024.0)</f>
        <v>2024</v>
      </c>
      <c r="V253" s="6" t="str">
        <f>IFERROR(__xludf.DUMMYFUNCTION("""COMPUTED_VALUE"""),"yes")</f>
        <v>yes</v>
      </c>
      <c r="W253" s="9" t="str">
        <f>IFERROR(__xludf.DUMMYFUNCTION("""COMPUTED_VALUE"""),"Lian")</f>
        <v>Lian</v>
      </c>
      <c r="X253" s="8" t="str">
        <f>IFERROR(__xludf.DUMMYFUNCTION("""COMPUTED_VALUE"""),"2024")</f>
        <v>2024</v>
      </c>
      <c r="Y253" s="8" t="str">
        <f>IFERROR(__xludf.DUMMYFUNCTION("""COMPUTED_VALUE"""),"NatGenet")</f>
        <v>NatGenet</v>
      </c>
      <c r="Z253" s="10" t="str">
        <f>IFERROR(__xludf.DUMMYFUNCTION("""COMPUTED_VALUE"""),"10.1038/s41588-024-01715-9")</f>
        <v>10.1038/s41588-024-01715-9</v>
      </c>
      <c r="AA253" s="10" t="str">
        <f>IFERROR(__xludf.DUMMYFUNCTION("""COMPUTED_VALUE"""),"https://www.nature.com/articles/s41588-024-01715-9")</f>
        <v>https://www.nature.com/articles/s41588-024-01715-9</v>
      </c>
      <c r="AB253" s="5"/>
    </row>
    <row r="254">
      <c r="A254" s="5">
        <f>IFERROR(__xludf.DUMMYFUNCTION("""COMPUTED_VALUE"""),100252.0)</f>
        <v>100252</v>
      </c>
      <c r="B254" s="5" t="str">
        <f>IFERROR(__xludf.DUMMYFUNCTION("""COMPUTED_VALUE"""),"Ita-0")</f>
        <v>Ita-0</v>
      </c>
      <c r="C254" s="5">
        <f>IFERROR(__xludf.DUMMYFUNCTION("""COMPUTED_VALUE"""),7173.0)</f>
        <v>7173</v>
      </c>
      <c r="D254" s="5"/>
      <c r="E254" s="5"/>
      <c r="F254" s="5">
        <f>IFERROR(__xludf.DUMMYFUNCTION("""COMPUTED_VALUE"""),1.0)</f>
        <v>1</v>
      </c>
      <c r="G254" s="5"/>
      <c r="H254" s="5"/>
      <c r="I254" s="5"/>
      <c r="J254" s="5"/>
      <c r="K254" s="5"/>
      <c r="L254" s="5"/>
      <c r="M254" s="5"/>
      <c r="N254" s="5">
        <f>IFERROR(__xludf.DUMMYFUNCTION("""COMPUTED_VALUE"""),97.0)</f>
        <v>97</v>
      </c>
      <c r="O254" s="5"/>
      <c r="P254" s="5"/>
      <c r="Q254" s="5" t="str">
        <f>IFERROR(__xludf.DUMMYFUNCTION("""COMPUTED_VALUE"""),"no")</f>
        <v>no</v>
      </c>
      <c r="R254" s="5" t="str">
        <f>IFERROR(__xludf.DUMMYFUNCTION("""COMPUTED_VALUE"""),"ONT")</f>
        <v>ONT</v>
      </c>
      <c r="S254" s="5" t="str">
        <f>IFERROR(__xludf.DUMMYFUNCTION("""COMPUTED_VALUE"""),"Flye_v2.7")</f>
        <v>Flye_v2.7</v>
      </c>
      <c r="T254" s="6" t="str">
        <f>IFERROR(__xludf.DUMMYFUNCTION("""COMPUTED_VALUE"""),"Pool???")</f>
        <v>Pool???</v>
      </c>
      <c r="U254" s="6">
        <f>IFERROR(__xludf.DUMMYFUNCTION("""COMPUTED_VALUE"""),2024.0)</f>
        <v>2024</v>
      </c>
      <c r="V254" s="6" t="str">
        <f>IFERROR(__xludf.DUMMYFUNCTION("""COMPUTED_VALUE"""),"yes")</f>
        <v>yes</v>
      </c>
      <c r="W254" s="9" t="str">
        <f>IFERROR(__xludf.DUMMYFUNCTION("""COMPUTED_VALUE"""),"Lian")</f>
        <v>Lian</v>
      </c>
      <c r="X254" s="8" t="str">
        <f>IFERROR(__xludf.DUMMYFUNCTION("""COMPUTED_VALUE"""),"2024")</f>
        <v>2024</v>
      </c>
      <c r="Y254" s="8" t="str">
        <f>IFERROR(__xludf.DUMMYFUNCTION("""COMPUTED_VALUE"""),"NatGenet")</f>
        <v>NatGenet</v>
      </c>
      <c r="Z254" s="10" t="str">
        <f>IFERROR(__xludf.DUMMYFUNCTION("""COMPUTED_VALUE"""),"10.1038/s41588-024-01715-9")</f>
        <v>10.1038/s41588-024-01715-9</v>
      </c>
      <c r="AA254" s="10" t="str">
        <f>IFERROR(__xludf.DUMMYFUNCTION("""COMPUTED_VALUE"""),"https://www.nature.com/articles/s41588-024-01715-9")</f>
        <v>https://www.nature.com/articles/s41588-024-01715-9</v>
      </c>
      <c r="AB254" s="5"/>
    </row>
    <row r="255">
      <c r="A255" s="5">
        <f>IFERROR(__xludf.DUMMYFUNCTION("""COMPUTED_VALUE"""),100253.0)</f>
        <v>100253</v>
      </c>
      <c r="B255" s="5" t="str">
        <f>IFERROR(__xludf.DUMMYFUNCTION("""COMPUTED_VALUE"""),"JEA")</f>
        <v>JEA</v>
      </c>
      <c r="C255" s="5">
        <f>IFERROR(__xludf.DUMMYFUNCTION("""COMPUTED_VALUE"""),91.0)</f>
        <v>91</v>
      </c>
      <c r="D255" s="5"/>
      <c r="E255" s="5"/>
      <c r="F255" s="5">
        <f>IFERROR(__xludf.DUMMYFUNCTION("""COMPUTED_VALUE"""),1.0)</f>
        <v>1</v>
      </c>
      <c r="G255" s="5"/>
      <c r="H255" s="5"/>
      <c r="I255" s="5"/>
      <c r="J255" s="5"/>
      <c r="K255" s="5"/>
      <c r="L255" s="5"/>
      <c r="M255" s="5"/>
      <c r="N255" s="5">
        <f>IFERROR(__xludf.DUMMYFUNCTION("""COMPUTED_VALUE"""),49.0)</f>
        <v>49</v>
      </c>
      <c r="O255" s="5"/>
      <c r="P255" s="5"/>
      <c r="Q255" s="5" t="str">
        <f>IFERROR(__xludf.DUMMYFUNCTION("""COMPUTED_VALUE"""),"no")</f>
        <v>no</v>
      </c>
      <c r="R255" s="5" t="str">
        <f>IFERROR(__xludf.DUMMYFUNCTION("""COMPUTED_VALUE"""),"ONT")</f>
        <v>ONT</v>
      </c>
      <c r="S255" s="5" t="str">
        <f>IFERROR(__xludf.DUMMYFUNCTION("""COMPUTED_VALUE"""),"Flye_v2.7")</f>
        <v>Flye_v2.7</v>
      </c>
      <c r="T255" s="6" t="str">
        <f>IFERROR(__xludf.DUMMYFUNCTION("""COMPUTED_VALUE"""),"Pool???")</f>
        <v>Pool???</v>
      </c>
      <c r="U255" s="6">
        <f>IFERROR(__xludf.DUMMYFUNCTION("""COMPUTED_VALUE"""),2024.0)</f>
        <v>2024</v>
      </c>
      <c r="V255" s="6" t="str">
        <f>IFERROR(__xludf.DUMMYFUNCTION("""COMPUTED_VALUE"""),"yes")</f>
        <v>yes</v>
      </c>
      <c r="W255" s="9" t="str">
        <f>IFERROR(__xludf.DUMMYFUNCTION("""COMPUTED_VALUE"""),"Lian")</f>
        <v>Lian</v>
      </c>
      <c r="X255" s="8" t="str">
        <f>IFERROR(__xludf.DUMMYFUNCTION("""COMPUTED_VALUE"""),"2024")</f>
        <v>2024</v>
      </c>
      <c r="Y255" s="8" t="str">
        <f>IFERROR(__xludf.DUMMYFUNCTION("""COMPUTED_VALUE"""),"NatGenet")</f>
        <v>NatGenet</v>
      </c>
      <c r="Z255" s="10" t="str">
        <f>IFERROR(__xludf.DUMMYFUNCTION("""COMPUTED_VALUE"""),"10.1038/s41588-024-01715-9")</f>
        <v>10.1038/s41588-024-01715-9</v>
      </c>
      <c r="AA255" s="10" t="str">
        <f>IFERROR(__xludf.DUMMYFUNCTION("""COMPUTED_VALUE"""),"https://www.nature.com/articles/s41588-024-01715-9")</f>
        <v>https://www.nature.com/articles/s41588-024-01715-9</v>
      </c>
      <c r="AB255" s="5"/>
    </row>
    <row r="256">
      <c r="A256" s="5">
        <f>IFERROR(__xludf.DUMMYFUNCTION("""COMPUTED_VALUE"""),100254.0)</f>
        <v>100254</v>
      </c>
      <c r="B256" s="5" t="str">
        <f>IFERROR(__xludf.DUMMYFUNCTION("""COMPUTED_VALUE"""),"Kz-9")</f>
        <v>Kz-9</v>
      </c>
      <c r="C256" s="5">
        <f>IFERROR(__xludf.DUMMYFUNCTION("""COMPUTED_VALUE"""),6931.0)</f>
        <v>6931</v>
      </c>
      <c r="D256" s="5"/>
      <c r="E256" s="5"/>
      <c r="F256" s="5">
        <f>IFERROR(__xludf.DUMMYFUNCTION("""COMPUTED_VALUE"""),1.0)</f>
        <v>1</v>
      </c>
      <c r="G256" s="5"/>
      <c r="H256" s="5"/>
      <c r="I256" s="5"/>
      <c r="J256" s="5"/>
      <c r="K256" s="5"/>
      <c r="L256" s="5"/>
      <c r="M256" s="5"/>
      <c r="N256" s="5">
        <f>IFERROR(__xludf.DUMMYFUNCTION("""COMPUTED_VALUE"""),67.0)</f>
        <v>67</v>
      </c>
      <c r="O256" s="5"/>
      <c r="P256" s="5"/>
      <c r="Q256" s="5" t="str">
        <f>IFERROR(__xludf.DUMMYFUNCTION("""COMPUTED_VALUE"""),"no")</f>
        <v>no</v>
      </c>
      <c r="R256" s="5" t="str">
        <f>IFERROR(__xludf.DUMMYFUNCTION("""COMPUTED_VALUE"""),"ONT")</f>
        <v>ONT</v>
      </c>
      <c r="S256" s="5" t="str">
        <f>IFERROR(__xludf.DUMMYFUNCTION("""COMPUTED_VALUE"""),"Flye_v2.7")</f>
        <v>Flye_v2.7</v>
      </c>
      <c r="T256" s="6" t="str">
        <f>IFERROR(__xludf.DUMMYFUNCTION("""COMPUTED_VALUE"""),"Pool???")</f>
        <v>Pool???</v>
      </c>
      <c r="U256" s="6">
        <f>IFERROR(__xludf.DUMMYFUNCTION("""COMPUTED_VALUE"""),2024.0)</f>
        <v>2024</v>
      </c>
      <c r="V256" s="6" t="str">
        <f>IFERROR(__xludf.DUMMYFUNCTION("""COMPUTED_VALUE"""),"yes")</f>
        <v>yes</v>
      </c>
      <c r="W256" s="9" t="str">
        <f>IFERROR(__xludf.DUMMYFUNCTION("""COMPUTED_VALUE"""),"Lian")</f>
        <v>Lian</v>
      </c>
      <c r="X256" s="8" t="str">
        <f>IFERROR(__xludf.DUMMYFUNCTION("""COMPUTED_VALUE"""),"2024")</f>
        <v>2024</v>
      </c>
      <c r="Y256" s="8" t="str">
        <f>IFERROR(__xludf.DUMMYFUNCTION("""COMPUTED_VALUE"""),"NatGenet")</f>
        <v>NatGenet</v>
      </c>
      <c r="Z256" s="10" t="str">
        <f>IFERROR(__xludf.DUMMYFUNCTION("""COMPUTED_VALUE"""),"10.1038/s41588-024-01715-9")</f>
        <v>10.1038/s41588-024-01715-9</v>
      </c>
      <c r="AA256" s="10" t="str">
        <f>IFERROR(__xludf.DUMMYFUNCTION("""COMPUTED_VALUE"""),"https://www.nature.com/articles/s41588-024-01715-9")</f>
        <v>https://www.nature.com/articles/s41588-024-01715-9</v>
      </c>
      <c r="AB256" s="5"/>
    </row>
    <row r="257">
      <c r="A257" s="5">
        <f>IFERROR(__xludf.DUMMYFUNCTION("""COMPUTED_VALUE"""),100255.0)</f>
        <v>100255</v>
      </c>
      <c r="B257" s="5" t="str">
        <f>IFERROR(__xludf.DUMMYFUNCTION("""COMPUTED_VALUE"""),"Nok-1")</f>
        <v>Nok-1</v>
      </c>
      <c r="C257" s="5">
        <f>IFERROR(__xludf.DUMMYFUNCTION("""COMPUTED_VALUE"""),7270.0)</f>
        <v>7270</v>
      </c>
      <c r="D257" s="5"/>
      <c r="E257" s="5"/>
      <c r="F257" s="5">
        <f>IFERROR(__xludf.DUMMYFUNCTION("""COMPUTED_VALUE"""),1.0)</f>
        <v>1</v>
      </c>
      <c r="G257" s="5"/>
      <c r="H257" s="5"/>
      <c r="I257" s="5"/>
      <c r="J257" s="5"/>
      <c r="K257" s="5"/>
      <c r="L257" s="5"/>
      <c r="M257" s="5"/>
      <c r="N257" s="5">
        <f>IFERROR(__xludf.DUMMYFUNCTION("""COMPUTED_VALUE"""),85.0)</f>
        <v>85</v>
      </c>
      <c r="O257" s="5"/>
      <c r="P257" s="5"/>
      <c r="Q257" s="5" t="str">
        <f>IFERROR(__xludf.DUMMYFUNCTION("""COMPUTED_VALUE"""),"no")</f>
        <v>no</v>
      </c>
      <c r="R257" s="5" t="str">
        <f>IFERROR(__xludf.DUMMYFUNCTION("""COMPUTED_VALUE"""),"ONT")</f>
        <v>ONT</v>
      </c>
      <c r="S257" s="5" t="str">
        <f>IFERROR(__xludf.DUMMYFUNCTION("""COMPUTED_VALUE"""),"Flye_v2.7")</f>
        <v>Flye_v2.7</v>
      </c>
      <c r="T257" s="6" t="str">
        <f>IFERROR(__xludf.DUMMYFUNCTION("""COMPUTED_VALUE"""),"Pool???")</f>
        <v>Pool???</v>
      </c>
      <c r="U257" s="6">
        <f>IFERROR(__xludf.DUMMYFUNCTION("""COMPUTED_VALUE"""),2024.0)</f>
        <v>2024</v>
      </c>
      <c r="V257" s="6" t="str">
        <f>IFERROR(__xludf.DUMMYFUNCTION("""COMPUTED_VALUE"""),"yes")</f>
        <v>yes</v>
      </c>
      <c r="W257" s="9" t="str">
        <f>IFERROR(__xludf.DUMMYFUNCTION("""COMPUTED_VALUE"""),"Lian")</f>
        <v>Lian</v>
      </c>
      <c r="X257" s="8" t="str">
        <f>IFERROR(__xludf.DUMMYFUNCTION("""COMPUTED_VALUE"""),"2024")</f>
        <v>2024</v>
      </c>
      <c r="Y257" s="8" t="str">
        <f>IFERROR(__xludf.DUMMYFUNCTION("""COMPUTED_VALUE"""),"NatGenet")</f>
        <v>NatGenet</v>
      </c>
      <c r="Z257" s="10" t="str">
        <f>IFERROR(__xludf.DUMMYFUNCTION("""COMPUTED_VALUE"""),"10.1038/s41588-024-01715-9")</f>
        <v>10.1038/s41588-024-01715-9</v>
      </c>
      <c r="AA257" s="10" t="str">
        <f>IFERROR(__xludf.DUMMYFUNCTION("""COMPUTED_VALUE"""),"https://www.nature.com/articles/s41588-024-01715-9")</f>
        <v>https://www.nature.com/articles/s41588-024-01715-9</v>
      </c>
      <c r="AB257" s="5"/>
    </row>
    <row r="258">
      <c r="A258" s="5">
        <f>IFERROR(__xludf.DUMMYFUNCTION("""COMPUTED_VALUE"""),100256.0)</f>
        <v>100256</v>
      </c>
      <c r="B258" s="5" t="str">
        <f>IFERROR(__xludf.DUMMYFUNCTION("""COMPUTED_VALUE"""),"Oy-0")</f>
        <v>Oy-0</v>
      </c>
      <c r="C258" s="5">
        <f>IFERROR(__xludf.DUMMYFUNCTION("""COMPUTED_VALUE"""),7288.0)</f>
        <v>7288</v>
      </c>
      <c r="D258" s="5"/>
      <c r="E258" s="5"/>
      <c r="F258" s="5">
        <f>IFERROR(__xludf.DUMMYFUNCTION("""COMPUTED_VALUE"""),1.0)</f>
        <v>1</v>
      </c>
      <c r="G258" s="5"/>
      <c r="H258" s="5"/>
      <c r="I258" s="5"/>
      <c r="J258" s="5"/>
      <c r="K258" s="5"/>
      <c r="L258" s="5"/>
      <c r="M258" s="5"/>
      <c r="N258" s="5">
        <f>IFERROR(__xludf.DUMMYFUNCTION("""COMPUTED_VALUE"""),78.0)</f>
        <v>78</v>
      </c>
      <c r="O258" s="5"/>
      <c r="P258" s="5"/>
      <c r="Q258" s="5" t="str">
        <f>IFERROR(__xludf.DUMMYFUNCTION("""COMPUTED_VALUE"""),"no")</f>
        <v>no</v>
      </c>
      <c r="R258" s="5" t="str">
        <f>IFERROR(__xludf.DUMMYFUNCTION("""COMPUTED_VALUE"""),"ONT")</f>
        <v>ONT</v>
      </c>
      <c r="S258" s="5" t="str">
        <f>IFERROR(__xludf.DUMMYFUNCTION("""COMPUTED_VALUE"""),"Flye_v2.7")</f>
        <v>Flye_v2.7</v>
      </c>
      <c r="T258" s="6" t="str">
        <f>IFERROR(__xludf.DUMMYFUNCTION("""COMPUTED_VALUE"""),"Pool???")</f>
        <v>Pool???</v>
      </c>
      <c r="U258" s="6">
        <f>IFERROR(__xludf.DUMMYFUNCTION("""COMPUTED_VALUE"""),2024.0)</f>
        <v>2024</v>
      </c>
      <c r="V258" s="6" t="str">
        <f>IFERROR(__xludf.DUMMYFUNCTION("""COMPUTED_VALUE"""),"yes")</f>
        <v>yes</v>
      </c>
      <c r="W258" s="9" t="str">
        <f>IFERROR(__xludf.DUMMYFUNCTION("""COMPUTED_VALUE"""),"Lian")</f>
        <v>Lian</v>
      </c>
      <c r="X258" s="8" t="str">
        <f>IFERROR(__xludf.DUMMYFUNCTION("""COMPUTED_VALUE"""),"2024")</f>
        <v>2024</v>
      </c>
      <c r="Y258" s="8" t="str">
        <f>IFERROR(__xludf.DUMMYFUNCTION("""COMPUTED_VALUE"""),"NatGenet")</f>
        <v>NatGenet</v>
      </c>
      <c r="Z258" s="10" t="str">
        <f>IFERROR(__xludf.DUMMYFUNCTION("""COMPUTED_VALUE"""),"10.1038/s41588-024-01715-9")</f>
        <v>10.1038/s41588-024-01715-9</v>
      </c>
      <c r="AA258" s="10" t="str">
        <f>IFERROR(__xludf.DUMMYFUNCTION("""COMPUTED_VALUE"""),"https://www.nature.com/articles/s41588-024-01715-9")</f>
        <v>https://www.nature.com/articles/s41588-024-01715-9</v>
      </c>
      <c r="AB258" s="5"/>
    </row>
    <row r="259">
      <c r="A259" s="5">
        <f>IFERROR(__xludf.DUMMYFUNCTION("""COMPUTED_VALUE"""),100257.0)</f>
        <v>100257</v>
      </c>
      <c r="B259" s="5" t="str">
        <f>IFERROR(__xludf.DUMMYFUNCTION("""COMPUTED_VALUE"""),"Ri-0")</f>
        <v>Ri-0</v>
      </c>
      <c r="C259" s="5">
        <f>IFERROR(__xludf.DUMMYFUNCTION("""COMPUTED_VALUE"""),7317.0)</f>
        <v>7317</v>
      </c>
      <c r="D259" s="5"/>
      <c r="E259" s="5"/>
      <c r="F259" s="5">
        <f>IFERROR(__xludf.DUMMYFUNCTION("""COMPUTED_VALUE"""),1.0)</f>
        <v>1</v>
      </c>
      <c r="G259" s="5"/>
      <c r="H259" s="5"/>
      <c r="I259" s="5"/>
      <c r="J259" s="5"/>
      <c r="K259" s="5"/>
      <c r="L259" s="5"/>
      <c r="M259" s="5"/>
      <c r="N259" s="5">
        <f>IFERROR(__xludf.DUMMYFUNCTION("""COMPUTED_VALUE"""),40.0)</f>
        <v>40</v>
      </c>
      <c r="O259" s="5"/>
      <c r="P259" s="5"/>
      <c r="Q259" s="5" t="str">
        <f>IFERROR(__xludf.DUMMYFUNCTION("""COMPUTED_VALUE"""),"no")</f>
        <v>no</v>
      </c>
      <c r="R259" s="5" t="str">
        <f>IFERROR(__xludf.DUMMYFUNCTION("""COMPUTED_VALUE"""),"ONT")</f>
        <v>ONT</v>
      </c>
      <c r="S259" s="5" t="str">
        <f>IFERROR(__xludf.DUMMYFUNCTION("""COMPUTED_VALUE"""),"Flye_v2.7")</f>
        <v>Flye_v2.7</v>
      </c>
      <c r="T259" s="6" t="str">
        <f>IFERROR(__xludf.DUMMYFUNCTION("""COMPUTED_VALUE"""),"Pool???")</f>
        <v>Pool???</v>
      </c>
      <c r="U259" s="6">
        <f>IFERROR(__xludf.DUMMYFUNCTION("""COMPUTED_VALUE"""),2024.0)</f>
        <v>2024</v>
      </c>
      <c r="V259" s="6" t="str">
        <f>IFERROR(__xludf.DUMMYFUNCTION("""COMPUTED_VALUE"""),"yes")</f>
        <v>yes</v>
      </c>
      <c r="W259" s="9" t="str">
        <f>IFERROR(__xludf.DUMMYFUNCTION("""COMPUTED_VALUE"""),"Lian")</f>
        <v>Lian</v>
      </c>
      <c r="X259" s="8" t="str">
        <f>IFERROR(__xludf.DUMMYFUNCTION("""COMPUTED_VALUE"""),"2024")</f>
        <v>2024</v>
      </c>
      <c r="Y259" s="8" t="str">
        <f>IFERROR(__xludf.DUMMYFUNCTION("""COMPUTED_VALUE"""),"NatGenet")</f>
        <v>NatGenet</v>
      </c>
      <c r="Z259" s="10" t="str">
        <f>IFERROR(__xludf.DUMMYFUNCTION("""COMPUTED_VALUE"""),"10.1038/s41588-024-01715-9")</f>
        <v>10.1038/s41588-024-01715-9</v>
      </c>
      <c r="AA259" s="10" t="str">
        <f>IFERROR(__xludf.DUMMYFUNCTION("""COMPUTED_VALUE"""),"https://www.nature.com/articles/s41588-024-01715-9")</f>
        <v>https://www.nature.com/articles/s41588-024-01715-9</v>
      </c>
      <c r="AB259" s="5"/>
    </row>
    <row r="260">
      <c r="A260" s="5">
        <f>IFERROR(__xludf.DUMMYFUNCTION("""COMPUTED_VALUE"""),100258.0)</f>
        <v>100258</v>
      </c>
      <c r="B260" s="5" t="str">
        <f>IFERROR(__xludf.DUMMYFUNCTION("""COMPUTED_VALUE"""),"Shahdara")</f>
        <v>Shahdara</v>
      </c>
      <c r="C260" s="5">
        <f>IFERROR(__xludf.DUMMYFUNCTION("""COMPUTED_VALUE"""),6962.0)</f>
        <v>6962</v>
      </c>
      <c r="D260" s="5"/>
      <c r="E260" s="5"/>
      <c r="F260" s="5">
        <f>IFERROR(__xludf.DUMMYFUNCTION("""COMPUTED_VALUE"""),1.0)</f>
        <v>1</v>
      </c>
      <c r="G260" s="5"/>
      <c r="H260" s="5"/>
      <c r="I260" s="5"/>
      <c r="J260" s="5"/>
      <c r="K260" s="5"/>
      <c r="L260" s="5"/>
      <c r="M260" s="5"/>
      <c r="N260" s="5">
        <f>IFERROR(__xludf.DUMMYFUNCTION("""COMPUTED_VALUE"""),104.0)</f>
        <v>104</v>
      </c>
      <c r="O260" s="5"/>
      <c r="P260" s="5"/>
      <c r="Q260" s="5" t="str">
        <f>IFERROR(__xludf.DUMMYFUNCTION("""COMPUTED_VALUE"""),"no")</f>
        <v>no</v>
      </c>
      <c r="R260" s="5" t="str">
        <f>IFERROR(__xludf.DUMMYFUNCTION("""COMPUTED_VALUE"""),"ONT")</f>
        <v>ONT</v>
      </c>
      <c r="S260" s="5" t="str">
        <f>IFERROR(__xludf.DUMMYFUNCTION("""COMPUTED_VALUE"""),"Flye_v2.7")</f>
        <v>Flye_v2.7</v>
      </c>
      <c r="T260" s="6" t="str">
        <f>IFERROR(__xludf.DUMMYFUNCTION("""COMPUTED_VALUE"""),"Pool???")</f>
        <v>Pool???</v>
      </c>
      <c r="U260" s="6">
        <f>IFERROR(__xludf.DUMMYFUNCTION("""COMPUTED_VALUE"""),2024.0)</f>
        <v>2024</v>
      </c>
      <c r="V260" s="6" t="str">
        <f>IFERROR(__xludf.DUMMYFUNCTION("""COMPUTED_VALUE"""),"yes")</f>
        <v>yes</v>
      </c>
      <c r="W260" s="9" t="str">
        <f>IFERROR(__xludf.DUMMYFUNCTION("""COMPUTED_VALUE"""),"Lian")</f>
        <v>Lian</v>
      </c>
      <c r="X260" s="8" t="str">
        <f>IFERROR(__xludf.DUMMYFUNCTION("""COMPUTED_VALUE"""),"2024")</f>
        <v>2024</v>
      </c>
      <c r="Y260" s="8" t="str">
        <f>IFERROR(__xludf.DUMMYFUNCTION("""COMPUTED_VALUE"""),"NatGenet")</f>
        <v>NatGenet</v>
      </c>
      <c r="Z260" s="10" t="str">
        <f>IFERROR(__xludf.DUMMYFUNCTION("""COMPUTED_VALUE"""),"10.1038/s41588-024-01715-9")</f>
        <v>10.1038/s41588-024-01715-9</v>
      </c>
      <c r="AA260" s="10" t="str">
        <f>IFERROR(__xludf.DUMMYFUNCTION("""COMPUTED_VALUE"""),"https://www.nature.com/articles/s41588-024-01715-9")</f>
        <v>https://www.nature.com/articles/s41588-024-01715-9</v>
      </c>
      <c r="AB260" s="5"/>
    </row>
    <row r="261">
      <c r="A261" s="5">
        <f>IFERROR(__xludf.DUMMYFUNCTION("""COMPUTED_VALUE"""),100259.0)</f>
        <v>100259</v>
      </c>
      <c r="B261" s="5" t="str">
        <f>IFERROR(__xludf.DUMMYFUNCTION("""COMPUTED_VALUE"""),"Shigu-2")</f>
        <v>Shigu-2</v>
      </c>
      <c r="C261" s="5">
        <f>IFERROR(__xludf.DUMMYFUNCTION("""COMPUTED_VALUE"""),9959.0)</f>
        <v>9959</v>
      </c>
      <c r="D261" s="5"/>
      <c r="E261" s="5"/>
      <c r="F261" s="5">
        <f>IFERROR(__xludf.DUMMYFUNCTION("""COMPUTED_VALUE"""),1.0)</f>
        <v>1</v>
      </c>
      <c r="G261" s="5"/>
      <c r="H261" s="5"/>
      <c r="I261" s="5"/>
      <c r="J261" s="5"/>
      <c r="K261" s="5"/>
      <c r="L261" s="5"/>
      <c r="M261" s="5"/>
      <c r="N261" s="5">
        <f>IFERROR(__xludf.DUMMYFUNCTION("""COMPUTED_VALUE"""),71.0)</f>
        <v>71</v>
      </c>
      <c r="O261" s="5"/>
      <c r="P261" s="5"/>
      <c r="Q261" s="5" t="str">
        <f>IFERROR(__xludf.DUMMYFUNCTION("""COMPUTED_VALUE"""),"no")</f>
        <v>no</v>
      </c>
      <c r="R261" s="5" t="str">
        <f>IFERROR(__xludf.DUMMYFUNCTION("""COMPUTED_VALUE"""),"ONT")</f>
        <v>ONT</v>
      </c>
      <c r="S261" s="5" t="str">
        <f>IFERROR(__xludf.DUMMYFUNCTION("""COMPUTED_VALUE"""),"Flye_v2.7")</f>
        <v>Flye_v2.7</v>
      </c>
      <c r="T261" s="6" t="str">
        <f>IFERROR(__xludf.DUMMYFUNCTION("""COMPUTED_VALUE"""),"Pool???")</f>
        <v>Pool???</v>
      </c>
      <c r="U261" s="6">
        <f>IFERROR(__xludf.DUMMYFUNCTION("""COMPUTED_VALUE"""),2024.0)</f>
        <v>2024</v>
      </c>
      <c r="V261" s="6" t="str">
        <f>IFERROR(__xludf.DUMMYFUNCTION("""COMPUTED_VALUE"""),"yes")</f>
        <v>yes</v>
      </c>
      <c r="W261" s="9" t="str">
        <f>IFERROR(__xludf.DUMMYFUNCTION("""COMPUTED_VALUE"""),"Lian")</f>
        <v>Lian</v>
      </c>
      <c r="X261" s="8" t="str">
        <f>IFERROR(__xludf.DUMMYFUNCTION("""COMPUTED_VALUE"""),"2024")</f>
        <v>2024</v>
      </c>
      <c r="Y261" s="8" t="str">
        <f>IFERROR(__xludf.DUMMYFUNCTION("""COMPUTED_VALUE"""),"NatGenet")</f>
        <v>NatGenet</v>
      </c>
      <c r="Z261" s="10" t="str">
        <f>IFERROR(__xludf.DUMMYFUNCTION("""COMPUTED_VALUE"""),"10.1038/s41588-024-01715-9")</f>
        <v>10.1038/s41588-024-01715-9</v>
      </c>
      <c r="AA261" s="10" t="str">
        <f>IFERROR(__xludf.DUMMYFUNCTION("""COMPUTED_VALUE"""),"https://www.nature.com/articles/s41588-024-01715-9")</f>
        <v>https://www.nature.com/articles/s41588-024-01715-9</v>
      </c>
      <c r="AB261" s="5"/>
    </row>
    <row r="262">
      <c r="A262" s="5">
        <f>IFERROR(__xludf.DUMMYFUNCTION("""COMPUTED_VALUE"""),100260.0)</f>
        <v>100260</v>
      </c>
      <c r="B262" s="5" t="str">
        <f>IFERROR(__xludf.DUMMYFUNCTION("""COMPUTED_VALUE"""),"Tsu-0")</f>
        <v>Tsu-0</v>
      </c>
      <c r="C262" s="5">
        <f>IFERROR(__xludf.DUMMYFUNCTION("""COMPUTED_VALUE"""),7373.0)</f>
        <v>7373</v>
      </c>
      <c r="D262" s="5"/>
      <c r="E262" s="5"/>
      <c r="F262" s="5">
        <f>IFERROR(__xludf.DUMMYFUNCTION("""COMPUTED_VALUE"""),1.0)</f>
        <v>1</v>
      </c>
      <c r="G262" s="5"/>
      <c r="H262" s="5"/>
      <c r="I262" s="5"/>
      <c r="J262" s="5"/>
      <c r="K262" s="5"/>
      <c r="L262" s="5"/>
      <c r="M262" s="5"/>
      <c r="N262" s="5">
        <f>IFERROR(__xludf.DUMMYFUNCTION("""COMPUTED_VALUE"""),55.0)</f>
        <v>55</v>
      </c>
      <c r="O262" s="5"/>
      <c r="P262" s="5"/>
      <c r="Q262" s="5" t="str">
        <f>IFERROR(__xludf.DUMMYFUNCTION("""COMPUTED_VALUE"""),"no")</f>
        <v>no</v>
      </c>
      <c r="R262" s="5" t="str">
        <f>IFERROR(__xludf.DUMMYFUNCTION("""COMPUTED_VALUE"""),"ONT")</f>
        <v>ONT</v>
      </c>
      <c r="S262" s="5" t="str">
        <f>IFERROR(__xludf.DUMMYFUNCTION("""COMPUTED_VALUE"""),"Flye_v2.7")</f>
        <v>Flye_v2.7</v>
      </c>
      <c r="T262" s="6" t="str">
        <f>IFERROR(__xludf.DUMMYFUNCTION("""COMPUTED_VALUE"""),"Pool???")</f>
        <v>Pool???</v>
      </c>
      <c r="U262" s="6">
        <f>IFERROR(__xludf.DUMMYFUNCTION("""COMPUTED_VALUE"""),2024.0)</f>
        <v>2024</v>
      </c>
      <c r="V262" s="6" t="str">
        <f>IFERROR(__xludf.DUMMYFUNCTION("""COMPUTED_VALUE"""),"yes")</f>
        <v>yes</v>
      </c>
      <c r="W262" s="9" t="str">
        <f>IFERROR(__xludf.DUMMYFUNCTION("""COMPUTED_VALUE"""),"Lian")</f>
        <v>Lian</v>
      </c>
      <c r="X262" s="8" t="str">
        <f>IFERROR(__xludf.DUMMYFUNCTION("""COMPUTED_VALUE"""),"2024")</f>
        <v>2024</v>
      </c>
      <c r="Y262" s="8" t="str">
        <f>IFERROR(__xludf.DUMMYFUNCTION("""COMPUTED_VALUE"""),"NatGenet")</f>
        <v>NatGenet</v>
      </c>
      <c r="Z262" s="10" t="str">
        <f>IFERROR(__xludf.DUMMYFUNCTION("""COMPUTED_VALUE"""),"10.1038/s41588-024-01715-9")</f>
        <v>10.1038/s41588-024-01715-9</v>
      </c>
      <c r="AA262" s="10" t="str">
        <f>IFERROR(__xludf.DUMMYFUNCTION("""COMPUTED_VALUE"""),"https://www.nature.com/articles/s41588-024-01715-9")</f>
        <v>https://www.nature.com/articles/s41588-024-01715-9</v>
      </c>
      <c r="AB262" s="5"/>
    </row>
    <row r="263">
      <c r="A263" s="5">
        <f>IFERROR(__xludf.DUMMYFUNCTION("""COMPUTED_VALUE"""),100261.0)</f>
        <v>100261</v>
      </c>
      <c r="B263" s="5" t="str">
        <f>IFERROR(__xludf.DUMMYFUNCTION("""COMPUTED_VALUE"""),"Yo-0")</f>
        <v>Yo-0</v>
      </c>
      <c r="C263" s="5">
        <f>IFERROR(__xludf.DUMMYFUNCTION("""COMPUTED_VALUE"""),7416.0)</f>
        <v>7416</v>
      </c>
      <c r="D263" s="5"/>
      <c r="E263" s="5"/>
      <c r="F263" s="5">
        <f>IFERROR(__xludf.DUMMYFUNCTION("""COMPUTED_VALUE"""),1.0)</f>
        <v>1</v>
      </c>
      <c r="G263" s="5"/>
      <c r="H263" s="5"/>
      <c r="I263" s="5"/>
      <c r="J263" s="5"/>
      <c r="K263" s="5"/>
      <c r="L263" s="5"/>
      <c r="M263" s="5"/>
      <c r="N263" s="5">
        <f>IFERROR(__xludf.DUMMYFUNCTION("""COMPUTED_VALUE"""),67.0)</f>
        <v>67</v>
      </c>
      <c r="O263" s="5"/>
      <c r="P263" s="5"/>
      <c r="Q263" s="5" t="str">
        <f>IFERROR(__xludf.DUMMYFUNCTION("""COMPUTED_VALUE"""),"no")</f>
        <v>no</v>
      </c>
      <c r="R263" s="5" t="str">
        <f>IFERROR(__xludf.DUMMYFUNCTION("""COMPUTED_VALUE"""),"ONT")</f>
        <v>ONT</v>
      </c>
      <c r="S263" s="5" t="str">
        <f>IFERROR(__xludf.DUMMYFUNCTION("""COMPUTED_VALUE"""),"Flye_v2.7")</f>
        <v>Flye_v2.7</v>
      </c>
      <c r="T263" s="6" t="str">
        <f>IFERROR(__xludf.DUMMYFUNCTION("""COMPUTED_VALUE"""),"Pool???")</f>
        <v>Pool???</v>
      </c>
      <c r="U263" s="6">
        <f>IFERROR(__xludf.DUMMYFUNCTION("""COMPUTED_VALUE"""),2024.0)</f>
        <v>2024</v>
      </c>
      <c r="V263" s="6" t="str">
        <f>IFERROR(__xludf.DUMMYFUNCTION("""COMPUTED_VALUE"""),"yes")</f>
        <v>yes</v>
      </c>
      <c r="W263" s="9" t="str">
        <f>IFERROR(__xludf.DUMMYFUNCTION("""COMPUTED_VALUE"""),"Lian")</f>
        <v>Lian</v>
      </c>
      <c r="X263" s="8" t="str">
        <f>IFERROR(__xludf.DUMMYFUNCTION("""COMPUTED_VALUE"""),"2024")</f>
        <v>2024</v>
      </c>
      <c r="Y263" s="8" t="str">
        <f>IFERROR(__xludf.DUMMYFUNCTION("""COMPUTED_VALUE"""),"NatGenet")</f>
        <v>NatGenet</v>
      </c>
      <c r="Z263" s="10" t="str">
        <f>IFERROR(__xludf.DUMMYFUNCTION("""COMPUTED_VALUE"""),"10.1038/s41588-024-01715-9")</f>
        <v>10.1038/s41588-024-01715-9</v>
      </c>
      <c r="AA263" s="10" t="str">
        <f>IFERROR(__xludf.DUMMYFUNCTION("""COMPUTED_VALUE"""),"https://www.nature.com/articles/s41588-024-01715-9")</f>
        <v>https://www.nature.com/articles/s41588-024-01715-9</v>
      </c>
      <c r="AB263" s="5"/>
    </row>
    <row r="264">
      <c r="A264" s="5">
        <f>IFERROR(__xludf.DUMMYFUNCTION("""COMPUTED_VALUE"""),100262.0)</f>
        <v>100262</v>
      </c>
      <c r="B264" s="5" t="str">
        <f>IFERROR(__xludf.DUMMYFUNCTION("""COMPUTED_VALUE"""),"Istisu-1")</f>
        <v>Istisu-1</v>
      </c>
      <c r="C264" s="5">
        <f>IFERROR(__xludf.DUMMYFUNCTION("""COMPUTED_VALUE"""),10012.0)</f>
        <v>10012</v>
      </c>
      <c r="D264" s="5"/>
      <c r="E264" s="5">
        <f>IFERROR(__xludf.DUMMYFUNCTION("""COMPUTED_VALUE"""),100262.0)</f>
        <v>100262</v>
      </c>
      <c r="F264" s="5">
        <f>IFERROR(__xludf.DUMMYFUNCTION("""COMPUTED_VALUE"""),1.0)</f>
        <v>1</v>
      </c>
      <c r="G264" s="5"/>
      <c r="H264" s="5" t="b">
        <f>IFERROR(__xludf.DUMMYFUNCTION("""COMPUTED_VALUE"""),FALSE)</f>
        <v>0</v>
      </c>
      <c r="I264" s="5"/>
      <c r="J264" s="5"/>
      <c r="K264" s="5"/>
      <c r="L264" s="5"/>
      <c r="M264" s="5"/>
      <c r="N264" s="5">
        <f>IFERROR(__xludf.DUMMYFUNCTION("""COMPUTED_VALUE"""),15.0)</f>
        <v>15</v>
      </c>
      <c r="O264" s="5"/>
      <c r="P264" s="5"/>
      <c r="Q264" s="5" t="str">
        <f>IFERROR(__xludf.DUMMYFUNCTION("""COMPUTED_VALUE"""),"no")</f>
        <v>no</v>
      </c>
      <c r="R264" s="5" t="str">
        <f>IFERROR(__xludf.DUMMYFUNCTION("""COMPUTED_VALUE"""),"HiFi")</f>
        <v>HiFi</v>
      </c>
      <c r="S264" s="5" t="str">
        <f>IFERROR(__xludf.DUMMYFUNCTION("""COMPUTED_VALUE"""),"hifiasm_v0.18")</f>
        <v>hifiasm_v0.18</v>
      </c>
      <c r="T264" s="6" t="str">
        <f>IFERROR(__xludf.DUMMYFUNCTION("""COMPUTED_VALUE"""),"Pool")</f>
        <v>Pool</v>
      </c>
      <c r="U264" s="6">
        <f>IFERROR(__xludf.DUMMYFUNCTION("""COMPUTED_VALUE"""),2024.0)</f>
        <v>2024</v>
      </c>
      <c r="V264" s="6" t="str">
        <f>IFERROR(__xludf.DUMMYFUNCTION("""COMPUTED_VALUE"""),"yes")</f>
        <v>yes</v>
      </c>
      <c r="W264" s="9" t="str">
        <f>IFERROR(__xludf.DUMMYFUNCTION("""COMPUTED_VALUE"""),"Lian")</f>
        <v>Lian</v>
      </c>
      <c r="X264" s="8" t="str">
        <f>IFERROR(__xludf.DUMMYFUNCTION("""COMPUTED_VALUE"""),"2024")</f>
        <v>2024</v>
      </c>
      <c r="Y264" s="8" t="str">
        <f>IFERROR(__xludf.DUMMYFUNCTION("""COMPUTED_VALUE"""),"NatGenet")</f>
        <v>NatGenet</v>
      </c>
      <c r="Z264" s="10" t="str">
        <f>IFERROR(__xludf.DUMMYFUNCTION("""COMPUTED_VALUE"""),"10.1038/s41588-024-01715-9")</f>
        <v>10.1038/s41588-024-01715-9</v>
      </c>
      <c r="AA264" s="10" t="str">
        <f>IFERROR(__xludf.DUMMYFUNCTION("""COMPUTED_VALUE"""),"https://www.nature.com/articles/s41588-024-01715-9")</f>
        <v>https://www.nature.com/articles/s41588-024-01715-9</v>
      </c>
      <c r="AB264" s="5"/>
    </row>
    <row r="265">
      <c r="A265" s="5">
        <f>IFERROR(__xludf.DUMMYFUNCTION("""COMPUTED_VALUE"""),100263.0)</f>
        <v>100263</v>
      </c>
      <c r="B265" s="5" t="str">
        <f>IFERROR(__xludf.DUMMYFUNCTION("""COMPUTED_VALUE"""),"Lu-1")</f>
        <v>Lu-1</v>
      </c>
      <c r="C265" s="5">
        <f>IFERROR(__xludf.DUMMYFUNCTION("""COMPUTED_VALUE"""),8334.0)</f>
        <v>8334</v>
      </c>
      <c r="D265" s="5"/>
      <c r="E265" s="5">
        <f>IFERROR(__xludf.DUMMYFUNCTION("""COMPUTED_VALUE"""),100263.0)</f>
        <v>100263</v>
      </c>
      <c r="F265" s="5">
        <f>IFERROR(__xludf.DUMMYFUNCTION("""COMPUTED_VALUE"""),1.0)</f>
        <v>1</v>
      </c>
      <c r="G265" s="5"/>
      <c r="H265" s="5" t="b">
        <f>IFERROR(__xludf.DUMMYFUNCTION("""COMPUTED_VALUE"""),FALSE)</f>
        <v>0</v>
      </c>
      <c r="I265" s="5"/>
      <c r="J265" s="5"/>
      <c r="K265" s="5"/>
      <c r="L265" s="5"/>
      <c r="M265" s="5"/>
      <c r="N265" s="5">
        <f>IFERROR(__xludf.DUMMYFUNCTION("""COMPUTED_VALUE"""),12.0)</f>
        <v>12</v>
      </c>
      <c r="O265" s="5"/>
      <c r="P265" s="5"/>
      <c r="Q265" s="5" t="str">
        <f>IFERROR(__xludf.DUMMYFUNCTION("""COMPUTED_VALUE"""),"no")</f>
        <v>no</v>
      </c>
      <c r="R265" s="5" t="str">
        <f>IFERROR(__xludf.DUMMYFUNCTION("""COMPUTED_VALUE"""),"HiFi")</f>
        <v>HiFi</v>
      </c>
      <c r="S265" s="5" t="str">
        <f>IFERROR(__xludf.DUMMYFUNCTION("""COMPUTED_VALUE"""),"hifiasm_v0.18")</f>
        <v>hifiasm_v0.18</v>
      </c>
      <c r="T265" s="6" t="str">
        <f>IFERROR(__xludf.DUMMYFUNCTION("""COMPUTED_VALUE"""),"Pool")</f>
        <v>Pool</v>
      </c>
      <c r="U265" s="6">
        <f>IFERROR(__xludf.DUMMYFUNCTION("""COMPUTED_VALUE"""),2024.0)</f>
        <v>2024</v>
      </c>
      <c r="V265" s="6" t="str">
        <f>IFERROR(__xludf.DUMMYFUNCTION("""COMPUTED_VALUE"""),"yes")</f>
        <v>yes</v>
      </c>
      <c r="W265" s="9" t="str">
        <f>IFERROR(__xludf.DUMMYFUNCTION("""COMPUTED_VALUE"""),"Lian")</f>
        <v>Lian</v>
      </c>
      <c r="X265" s="8" t="str">
        <f>IFERROR(__xludf.DUMMYFUNCTION("""COMPUTED_VALUE"""),"2024")</f>
        <v>2024</v>
      </c>
      <c r="Y265" s="8" t="str">
        <f>IFERROR(__xludf.DUMMYFUNCTION("""COMPUTED_VALUE"""),"NatGenet")</f>
        <v>NatGenet</v>
      </c>
      <c r="Z265" s="10" t="str">
        <f>IFERROR(__xludf.DUMMYFUNCTION("""COMPUTED_VALUE"""),"10.1038/s41588-024-01715-9")</f>
        <v>10.1038/s41588-024-01715-9</v>
      </c>
      <c r="AA265" s="10" t="str">
        <f>IFERROR(__xludf.DUMMYFUNCTION("""COMPUTED_VALUE"""),"https://www.nature.com/articles/s41588-024-01715-9")</f>
        <v>https://www.nature.com/articles/s41588-024-01715-9</v>
      </c>
      <c r="AB265" s="5"/>
    </row>
    <row r="266">
      <c r="A266" s="5">
        <f>IFERROR(__xludf.DUMMYFUNCTION("""COMPUTED_VALUE"""),100264.0)</f>
        <v>100264</v>
      </c>
      <c r="B266" s="5" t="str">
        <f>IFERROR(__xludf.DUMMYFUNCTION("""COMPUTED_VALUE"""),"Pa-1")</f>
        <v>Pa-1</v>
      </c>
      <c r="C266" s="5">
        <f>IFERROR(__xludf.DUMMYFUNCTION("""COMPUTED_VALUE"""),8353.0)</f>
        <v>8353</v>
      </c>
      <c r="D266" s="5"/>
      <c r="E266" s="5">
        <f>IFERROR(__xludf.DUMMYFUNCTION("""COMPUTED_VALUE"""),100264.0)</f>
        <v>100264</v>
      </c>
      <c r="F266" s="5">
        <f>IFERROR(__xludf.DUMMYFUNCTION("""COMPUTED_VALUE"""),1.0)</f>
        <v>1</v>
      </c>
      <c r="G266" s="5"/>
      <c r="H266" s="5" t="b">
        <f>IFERROR(__xludf.DUMMYFUNCTION("""COMPUTED_VALUE"""),FALSE)</f>
        <v>0</v>
      </c>
      <c r="I266" s="5"/>
      <c r="J266" s="5"/>
      <c r="K266" s="5"/>
      <c r="L266" s="5"/>
      <c r="M266" s="5"/>
      <c r="N266" s="5">
        <f>IFERROR(__xludf.DUMMYFUNCTION("""COMPUTED_VALUE"""),24.0)</f>
        <v>24</v>
      </c>
      <c r="O266" s="5"/>
      <c r="P266" s="5"/>
      <c r="Q266" s="5" t="str">
        <f>IFERROR(__xludf.DUMMYFUNCTION("""COMPUTED_VALUE"""),"no")</f>
        <v>no</v>
      </c>
      <c r="R266" s="5" t="str">
        <f>IFERROR(__xludf.DUMMYFUNCTION("""COMPUTED_VALUE"""),"HiFi")</f>
        <v>HiFi</v>
      </c>
      <c r="S266" s="5" t="str">
        <f>IFERROR(__xludf.DUMMYFUNCTION("""COMPUTED_VALUE"""),"hifiasm_v0.18")</f>
        <v>hifiasm_v0.18</v>
      </c>
      <c r="T266" s="6" t="str">
        <f>IFERROR(__xludf.DUMMYFUNCTION("""COMPUTED_VALUE"""),"Pool")</f>
        <v>Pool</v>
      </c>
      <c r="U266" s="6">
        <f>IFERROR(__xludf.DUMMYFUNCTION("""COMPUTED_VALUE"""),2024.0)</f>
        <v>2024</v>
      </c>
      <c r="V266" s="6" t="str">
        <f>IFERROR(__xludf.DUMMYFUNCTION("""COMPUTED_VALUE"""),"yes")</f>
        <v>yes</v>
      </c>
      <c r="W266" s="9" t="str">
        <f>IFERROR(__xludf.DUMMYFUNCTION("""COMPUTED_VALUE"""),"Lian")</f>
        <v>Lian</v>
      </c>
      <c r="X266" s="8" t="str">
        <f>IFERROR(__xludf.DUMMYFUNCTION("""COMPUTED_VALUE"""),"2024")</f>
        <v>2024</v>
      </c>
      <c r="Y266" s="8" t="str">
        <f>IFERROR(__xludf.DUMMYFUNCTION("""COMPUTED_VALUE"""),"NatGenet")</f>
        <v>NatGenet</v>
      </c>
      <c r="Z266" s="10" t="str">
        <f>IFERROR(__xludf.DUMMYFUNCTION("""COMPUTED_VALUE"""),"10.1038/s41588-024-01715-9")</f>
        <v>10.1038/s41588-024-01715-9</v>
      </c>
      <c r="AA266" s="10" t="str">
        <f>IFERROR(__xludf.DUMMYFUNCTION("""COMPUTED_VALUE"""),"https://www.nature.com/articles/s41588-024-01715-9")</f>
        <v>https://www.nature.com/articles/s41588-024-01715-9</v>
      </c>
      <c r="AB266" s="5"/>
    </row>
    <row r="267">
      <c r="A267" s="5">
        <f>IFERROR(__xludf.DUMMYFUNCTION("""COMPUTED_VALUE"""),100265.0)</f>
        <v>100265</v>
      </c>
      <c r="B267" s="5" t="str">
        <f>IFERROR(__xludf.DUMMYFUNCTION("""COMPUTED_VALUE"""),"KBS-Mac-74")</f>
        <v>KBS-Mac-74</v>
      </c>
      <c r="C267" s="5">
        <f>IFERROR(__xludf.DUMMYFUNCTION("""COMPUTED_VALUE"""),1741.0)</f>
        <v>1741</v>
      </c>
      <c r="D267" s="5"/>
      <c r="E267" s="5"/>
      <c r="F267" s="5">
        <f>IFERROR(__xludf.DUMMYFUNCTION("""COMPUTED_VALUE"""),1.0)</f>
        <v>1</v>
      </c>
      <c r="G267" s="5"/>
      <c r="H267" s="5"/>
      <c r="I267" s="5"/>
      <c r="J267" s="5" t="str">
        <f>IFERROR(__xludf.DUMMYFUNCTION("""COMPUTED_VALUE"""),"CS78969")</f>
        <v>CS78969</v>
      </c>
      <c r="K267" s="5"/>
      <c r="L267" s="5"/>
      <c r="M267" s="5"/>
      <c r="N267" s="5">
        <f>IFERROR(__xludf.DUMMYFUNCTION("""COMPUTED_VALUE"""),11.0)</f>
        <v>11</v>
      </c>
      <c r="O267" s="5"/>
      <c r="P267" s="5"/>
      <c r="Q267" s="5" t="str">
        <f>IFERROR(__xludf.DUMMYFUNCTION("""COMPUTED_VALUE"""),"no")</f>
        <v>no</v>
      </c>
      <c r="R267" s="5" t="str">
        <f>IFERROR(__xludf.DUMMYFUNCTION("""COMPUTED_VALUE"""),"CLR")</f>
        <v>CLR</v>
      </c>
      <c r="S267" s="5"/>
      <c r="T267" s="6" t="str">
        <f>IFERROR(__xludf.DUMMYFUNCTION("""COMPUTED_VALUE"""),"Pool")</f>
        <v>Pool</v>
      </c>
      <c r="U267" s="6">
        <f>IFERROR(__xludf.DUMMYFUNCTION("""COMPUTED_VALUE"""),2024.0)</f>
        <v>2024</v>
      </c>
      <c r="V267" s="6" t="str">
        <f>IFERROR(__xludf.DUMMYFUNCTION("""COMPUTED_VALUE"""),"yes")</f>
        <v>yes</v>
      </c>
      <c r="W267" s="6" t="str">
        <f>IFERROR(__xludf.DUMMYFUNCTION("""COMPUTED_VALUE"""),"Igolkina")</f>
        <v>Igolkina</v>
      </c>
      <c r="X267" s="5">
        <f>IFERROR(__xludf.DUMMYFUNCTION("""COMPUTED_VALUE"""),2024.0)</f>
        <v>2024</v>
      </c>
      <c r="Y267" s="5" t="str">
        <f>IFERROR(__xludf.DUMMYFUNCTION("""COMPUTED_VALUE"""),"bioRxiv")</f>
        <v>bioRxiv</v>
      </c>
      <c r="Z267" s="5"/>
      <c r="AA267" s="7" t="str">
        <f>IFERROR(__xludf.DUMMYFUNCTION("""COMPUTED_VALUE"""),"https://www.biorxiv.org/content/10.1101/2024.05.30.596703v1")</f>
        <v>https://www.biorxiv.org/content/10.1101/2024.05.30.596703v1</v>
      </c>
      <c r="AB267" s="5"/>
    </row>
    <row r="268">
      <c r="A268" s="5">
        <f>IFERROR(__xludf.DUMMYFUNCTION("""COMPUTED_VALUE"""),100266.0)</f>
        <v>100266</v>
      </c>
      <c r="B268" s="5" t="str">
        <f>IFERROR(__xludf.DUMMYFUNCTION("""COMPUTED_VALUE"""),"Fly2-2")</f>
        <v>Fly2-2</v>
      </c>
      <c r="C268" s="5">
        <f>IFERROR(__xludf.DUMMYFUNCTION("""COMPUTED_VALUE"""),6024.0)</f>
        <v>6024</v>
      </c>
      <c r="D268" s="5"/>
      <c r="E268" s="5">
        <f>IFERROR(__xludf.DUMMYFUNCTION("""COMPUTED_VALUE"""),100034.0)</f>
        <v>100034</v>
      </c>
      <c r="F268" s="5">
        <f>IFERROR(__xludf.DUMMYFUNCTION("""COMPUTED_VALUE"""),2.0)</f>
        <v>2</v>
      </c>
      <c r="G268" s="5"/>
      <c r="H268" s="5" t="str">
        <f>IFERROR(__xludf.DUMMYFUNCTION("""COMPUTED_VALUE"""),"There is a HiFi from Tom")</f>
        <v>There is a HiFi from Tom</v>
      </c>
      <c r="I268" s="5"/>
      <c r="J268" s="5" t="str">
        <f>IFERROR(__xludf.DUMMYFUNCTION("""COMPUTED_VALUE"""),"CS76864")</f>
        <v>CS76864</v>
      </c>
      <c r="K268" s="5"/>
      <c r="L268" s="5"/>
      <c r="M268" s="5"/>
      <c r="N268" s="5">
        <f>IFERROR(__xludf.DUMMYFUNCTION("""COMPUTED_VALUE"""),12.0)</f>
        <v>12</v>
      </c>
      <c r="O268" s="5"/>
      <c r="P268" s="5"/>
      <c r="Q268" s="5" t="str">
        <f>IFERROR(__xludf.DUMMYFUNCTION("""COMPUTED_VALUE"""),"no")</f>
        <v>no</v>
      </c>
      <c r="R268" s="5" t="str">
        <f>IFERROR(__xludf.DUMMYFUNCTION("""COMPUTED_VALUE"""),"CLR")</f>
        <v>CLR</v>
      </c>
      <c r="S268" s="5"/>
      <c r="T268" s="6" t="str">
        <f>IFERROR(__xludf.DUMMYFUNCTION("""COMPUTED_VALUE"""),"Pool")</f>
        <v>Pool</v>
      </c>
      <c r="U268" s="6">
        <f>IFERROR(__xludf.DUMMYFUNCTION("""COMPUTED_VALUE"""),2024.0)</f>
        <v>2024</v>
      </c>
      <c r="V268" s="6" t="str">
        <f>IFERROR(__xludf.DUMMYFUNCTION("""COMPUTED_VALUE"""),"yes")</f>
        <v>yes</v>
      </c>
      <c r="W268" s="6" t="str">
        <f>IFERROR(__xludf.DUMMYFUNCTION("""COMPUTED_VALUE"""),"Igolkina")</f>
        <v>Igolkina</v>
      </c>
      <c r="X268" s="5">
        <f>IFERROR(__xludf.DUMMYFUNCTION("""COMPUTED_VALUE"""),2024.0)</f>
        <v>2024</v>
      </c>
      <c r="Y268" s="5" t="str">
        <f>IFERROR(__xludf.DUMMYFUNCTION("""COMPUTED_VALUE"""),"bioRxiv")</f>
        <v>bioRxiv</v>
      </c>
      <c r="Z268" s="5"/>
      <c r="AA268" s="7" t="str">
        <f>IFERROR(__xludf.DUMMYFUNCTION("""COMPUTED_VALUE"""),"https://www.biorxiv.org/content/10.1101/2024.05.30.596703v1")</f>
        <v>https://www.biorxiv.org/content/10.1101/2024.05.30.596703v1</v>
      </c>
      <c r="AB268" s="5"/>
    </row>
    <row r="269">
      <c r="A269" s="5">
        <f>IFERROR(__xludf.DUMMYFUNCTION("""COMPUTED_VALUE"""),100267.0)</f>
        <v>100267</v>
      </c>
      <c r="B269" s="5" t="str">
        <f>IFERROR(__xludf.DUMMYFUNCTION("""COMPUTED_VALUE"""),"Nyl-7")</f>
        <v>Nyl-7</v>
      </c>
      <c r="C269" s="5">
        <f>IFERROR(__xludf.DUMMYFUNCTION("""COMPUTED_VALUE"""),6069.0)</f>
        <v>6069</v>
      </c>
      <c r="D269" s="5"/>
      <c r="E269" s="5"/>
      <c r="F269" s="5">
        <f>IFERROR(__xludf.DUMMYFUNCTION("""COMPUTED_VALUE"""),1.0)</f>
        <v>1</v>
      </c>
      <c r="G269" s="5"/>
      <c r="H269" s="5"/>
      <c r="I269" s="5"/>
      <c r="J269" s="5" t="str">
        <f>IFERROR(__xludf.DUMMYFUNCTION("""COMPUTED_VALUE"""),"CS77137")</f>
        <v>CS77137</v>
      </c>
      <c r="K269" s="5"/>
      <c r="L269" s="5"/>
      <c r="M269" s="5"/>
      <c r="N269" s="5">
        <f>IFERROR(__xludf.DUMMYFUNCTION("""COMPUTED_VALUE"""),9.0)</f>
        <v>9</v>
      </c>
      <c r="O269" s="5"/>
      <c r="P269" s="5"/>
      <c r="Q269" s="5" t="str">
        <f>IFERROR(__xludf.DUMMYFUNCTION("""COMPUTED_VALUE"""),"no")</f>
        <v>no</v>
      </c>
      <c r="R269" s="5" t="str">
        <f>IFERROR(__xludf.DUMMYFUNCTION("""COMPUTED_VALUE"""),"CLR")</f>
        <v>CLR</v>
      </c>
      <c r="S269" s="5"/>
      <c r="T269" s="6" t="str">
        <f>IFERROR(__xludf.DUMMYFUNCTION("""COMPUTED_VALUE"""),"Pool")</f>
        <v>Pool</v>
      </c>
      <c r="U269" s="6">
        <f>IFERROR(__xludf.DUMMYFUNCTION("""COMPUTED_VALUE"""),2024.0)</f>
        <v>2024</v>
      </c>
      <c r="V269" s="6" t="str">
        <f>IFERROR(__xludf.DUMMYFUNCTION("""COMPUTED_VALUE"""),"yes")</f>
        <v>yes</v>
      </c>
      <c r="W269" s="6" t="str">
        <f>IFERROR(__xludf.DUMMYFUNCTION("""COMPUTED_VALUE"""),"Igolkina")</f>
        <v>Igolkina</v>
      </c>
      <c r="X269" s="5">
        <f>IFERROR(__xludf.DUMMYFUNCTION("""COMPUTED_VALUE"""),2024.0)</f>
        <v>2024</v>
      </c>
      <c r="Y269" s="5" t="str">
        <f>IFERROR(__xludf.DUMMYFUNCTION("""COMPUTED_VALUE"""),"bioRxiv")</f>
        <v>bioRxiv</v>
      </c>
      <c r="Z269" s="5"/>
      <c r="AA269" s="7" t="str">
        <f>IFERROR(__xludf.DUMMYFUNCTION("""COMPUTED_VALUE"""),"https://www.biorxiv.org/content/10.1101/2024.05.30.596703v1")</f>
        <v>https://www.biorxiv.org/content/10.1101/2024.05.30.596703v1</v>
      </c>
      <c r="AB269" s="5"/>
    </row>
    <row r="270">
      <c r="A270" s="5">
        <f>IFERROR(__xludf.DUMMYFUNCTION("""COMPUTED_VALUE"""),100268.0)</f>
        <v>100268</v>
      </c>
      <c r="B270" s="5" t="str">
        <f>IFERROR(__xludf.DUMMYFUNCTION("""COMPUTED_VALUE"""),"T690")</f>
        <v>T690</v>
      </c>
      <c r="C270" s="5">
        <f>IFERROR(__xludf.DUMMYFUNCTION("""COMPUTED_VALUE"""),6124.0)</f>
        <v>6124</v>
      </c>
      <c r="D270" s="5"/>
      <c r="E270" s="5"/>
      <c r="F270" s="5">
        <f>IFERROR(__xludf.DUMMYFUNCTION("""COMPUTED_VALUE"""),1.0)</f>
        <v>1</v>
      </c>
      <c r="G270" s="5"/>
      <c r="H270" s="5"/>
      <c r="I270" s="5"/>
      <c r="J270" s="5" t="str">
        <f>IFERROR(__xludf.DUMMYFUNCTION("""COMPUTED_VALUE"""),"CS77309")</f>
        <v>CS77309</v>
      </c>
      <c r="K270" s="5"/>
      <c r="L270" s="5"/>
      <c r="M270" s="5"/>
      <c r="N270" s="5">
        <f>IFERROR(__xludf.DUMMYFUNCTION("""COMPUTED_VALUE"""),12.0)</f>
        <v>12</v>
      </c>
      <c r="O270" s="5"/>
      <c r="P270" s="5"/>
      <c r="Q270" s="5" t="str">
        <f>IFERROR(__xludf.DUMMYFUNCTION("""COMPUTED_VALUE"""),"no")</f>
        <v>no</v>
      </c>
      <c r="R270" s="5" t="str">
        <f>IFERROR(__xludf.DUMMYFUNCTION("""COMPUTED_VALUE"""),"CLR")</f>
        <v>CLR</v>
      </c>
      <c r="S270" s="5"/>
      <c r="T270" s="6" t="str">
        <f>IFERROR(__xludf.DUMMYFUNCTION("""COMPUTED_VALUE"""),"Pool")</f>
        <v>Pool</v>
      </c>
      <c r="U270" s="6">
        <f>IFERROR(__xludf.DUMMYFUNCTION("""COMPUTED_VALUE"""),2024.0)</f>
        <v>2024</v>
      </c>
      <c r="V270" s="6" t="str">
        <f>IFERROR(__xludf.DUMMYFUNCTION("""COMPUTED_VALUE"""),"yes")</f>
        <v>yes</v>
      </c>
      <c r="W270" s="6" t="str">
        <f>IFERROR(__xludf.DUMMYFUNCTION("""COMPUTED_VALUE"""),"Igolkina")</f>
        <v>Igolkina</v>
      </c>
      <c r="X270" s="5">
        <f>IFERROR(__xludf.DUMMYFUNCTION("""COMPUTED_VALUE"""),2024.0)</f>
        <v>2024</v>
      </c>
      <c r="Y270" s="5" t="str">
        <f>IFERROR(__xludf.DUMMYFUNCTION("""COMPUTED_VALUE"""),"bioRxiv")</f>
        <v>bioRxiv</v>
      </c>
      <c r="Z270" s="5"/>
      <c r="AA270" s="7" t="str">
        <f>IFERROR(__xludf.DUMMYFUNCTION("""COMPUTED_VALUE"""),"https://www.biorxiv.org/content/10.1101/2024.05.30.596703v1")</f>
        <v>https://www.biorxiv.org/content/10.1101/2024.05.30.596703v1</v>
      </c>
      <c r="AB270" s="5"/>
    </row>
    <row r="271">
      <c r="A271" s="5">
        <f>IFERROR(__xludf.DUMMYFUNCTION("""COMPUTED_VALUE"""),100269.0)</f>
        <v>100269</v>
      </c>
      <c r="B271" s="5" t="str">
        <f>IFERROR(__xludf.DUMMYFUNCTION("""COMPUTED_VALUE"""),"TRÄ 01")</f>
        <v>TRÄ 01</v>
      </c>
      <c r="C271" s="5">
        <f>IFERROR(__xludf.DUMMYFUNCTION("""COMPUTED_VALUE"""),6244.0)</f>
        <v>6244</v>
      </c>
      <c r="D271" s="5"/>
      <c r="E271" s="5"/>
      <c r="F271" s="5">
        <f>IFERROR(__xludf.DUMMYFUNCTION("""COMPUTED_VALUE"""),1.0)</f>
        <v>1</v>
      </c>
      <c r="G271" s="5"/>
      <c r="H271" s="5"/>
      <c r="I271" s="5"/>
      <c r="J271" s="5" t="str">
        <f>IFERROR(__xludf.DUMMYFUNCTION("""COMPUTED_VALUE"""),"CS77384")</f>
        <v>CS77384</v>
      </c>
      <c r="K271" s="5"/>
      <c r="L271" s="5"/>
      <c r="M271" s="5"/>
      <c r="N271" s="5">
        <f>IFERROR(__xludf.DUMMYFUNCTION("""COMPUTED_VALUE"""),11.0)</f>
        <v>11</v>
      </c>
      <c r="O271" s="5"/>
      <c r="P271" s="5"/>
      <c r="Q271" s="5" t="str">
        <f>IFERROR(__xludf.DUMMYFUNCTION("""COMPUTED_VALUE"""),"no")</f>
        <v>no</v>
      </c>
      <c r="R271" s="5" t="str">
        <f>IFERROR(__xludf.DUMMYFUNCTION("""COMPUTED_VALUE"""),"CLR")</f>
        <v>CLR</v>
      </c>
      <c r="S271" s="5"/>
      <c r="T271" s="6" t="str">
        <f>IFERROR(__xludf.DUMMYFUNCTION("""COMPUTED_VALUE"""),"Pool")</f>
        <v>Pool</v>
      </c>
      <c r="U271" s="6">
        <f>IFERROR(__xludf.DUMMYFUNCTION("""COMPUTED_VALUE"""),2024.0)</f>
        <v>2024</v>
      </c>
      <c r="V271" s="6" t="str">
        <f>IFERROR(__xludf.DUMMYFUNCTION("""COMPUTED_VALUE"""),"yes")</f>
        <v>yes</v>
      </c>
      <c r="W271" s="6" t="str">
        <f>IFERROR(__xludf.DUMMYFUNCTION("""COMPUTED_VALUE"""),"Igolkina")</f>
        <v>Igolkina</v>
      </c>
      <c r="X271" s="5">
        <f>IFERROR(__xludf.DUMMYFUNCTION("""COMPUTED_VALUE"""),2024.0)</f>
        <v>2024</v>
      </c>
      <c r="Y271" s="5" t="str">
        <f>IFERROR(__xludf.DUMMYFUNCTION("""COMPUTED_VALUE"""),"bioRxiv")</f>
        <v>bioRxiv</v>
      </c>
      <c r="Z271" s="5"/>
      <c r="AA271" s="7" t="str">
        <f>IFERROR(__xludf.DUMMYFUNCTION("""COMPUTED_VALUE"""),"https://www.biorxiv.org/content/10.1101/2024.05.30.596703v1")</f>
        <v>https://www.biorxiv.org/content/10.1101/2024.05.30.596703v1</v>
      </c>
      <c r="AB271" s="5"/>
    </row>
    <row r="272">
      <c r="A272" s="5">
        <f>IFERROR(__xludf.DUMMYFUNCTION("""COMPUTED_VALUE"""),100270.0)</f>
        <v>100270</v>
      </c>
      <c r="B272" s="5" t="str">
        <f>IFERROR(__xludf.DUMMYFUNCTION("""COMPUTED_VALUE"""),"Col-0")</f>
        <v>Col-0</v>
      </c>
      <c r="C272" s="5">
        <f>IFERROR(__xludf.DUMMYFUNCTION("""COMPUTED_VALUE"""),6909.0)</f>
        <v>6909</v>
      </c>
      <c r="D272" s="5"/>
      <c r="E272" s="5"/>
      <c r="F272" s="5">
        <f>IFERROR(__xludf.DUMMYFUNCTION("""COMPUTED_VALUE"""),1.0)</f>
        <v>1</v>
      </c>
      <c r="G272" s="5"/>
      <c r="H272" s="5" t="b">
        <f>IFERROR(__xludf.DUMMYFUNCTION("""COMPUTED_VALUE"""),FALSE)</f>
        <v>0</v>
      </c>
      <c r="I272" s="5"/>
      <c r="J272" s="5" t="str">
        <f>IFERROR(__xludf.DUMMYFUNCTION("""COMPUTED_VALUE"""),"CS76778")</f>
        <v>CS76778</v>
      </c>
      <c r="K272" s="5"/>
      <c r="L272" s="5"/>
      <c r="M272" s="5"/>
      <c r="N272" s="5">
        <f>IFERROR(__xludf.DUMMYFUNCTION("""COMPUTED_VALUE"""),11.0)</f>
        <v>11</v>
      </c>
      <c r="O272" s="5"/>
      <c r="P272" s="5"/>
      <c r="Q272" s="5" t="str">
        <f>IFERROR(__xludf.DUMMYFUNCTION("""COMPUTED_VALUE"""),"no")</f>
        <v>no</v>
      </c>
      <c r="R272" s="5" t="str">
        <f>IFERROR(__xludf.DUMMYFUNCTION("""COMPUTED_VALUE"""),"CLR")</f>
        <v>CLR</v>
      </c>
      <c r="S272" s="5"/>
      <c r="T272" s="6" t="str">
        <f>IFERROR(__xludf.DUMMYFUNCTION("""COMPUTED_VALUE"""),"Pool")</f>
        <v>Pool</v>
      </c>
      <c r="U272" s="6">
        <f>IFERROR(__xludf.DUMMYFUNCTION("""COMPUTED_VALUE"""),2024.0)</f>
        <v>2024</v>
      </c>
      <c r="V272" s="6" t="str">
        <f>IFERROR(__xludf.DUMMYFUNCTION("""COMPUTED_VALUE"""),"yes")</f>
        <v>yes</v>
      </c>
      <c r="W272" s="6" t="str">
        <f>IFERROR(__xludf.DUMMYFUNCTION("""COMPUTED_VALUE"""),"Igolkina")</f>
        <v>Igolkina</v>
      </c>
      <c r="X272" s="5">
        <f>IFERROR(__xludf.DUMMYFUNCTION("""COMPUTED_VALUE"""),2024.0)</f>
        <v>2024</v>
      </c>
      <c r="Y272" s="5" t="str">
        <f>IFERROR(__xludf.DUMMYFUNCTION("""COMPUTED_VALUE"""),"bioRxiv")</f>
        <v>bioRxiv</v>
      </c>
      <c r="Z272" s="5"/>
      <c r="AA272" s="7" t="str">
        <f>IFERROR(__xludf.DUMMYFUNCTION("""COMPUTED_VALUE"""),"https://www.biorxiv.org/content/10.1101/2024.05.30.596703v1")</f>
        <v>https://www.biorxiv.org/content/10.1101/2024.05.30.596703v1</v>
      </c>
      <c r="AB272" s="5"/>
    </row>
    <row r="273">
      <c r="A273" s="5">
        <f>IFERROR(__xludf.DUMMYFUNCTION("""COMPUTED_VALUE"""),100271.0)</f>
        <v>100271</v>
      </c>
      <c r="B273" s="5" t="str">
        <f>IFERROR(__xludf.DUMMYFUNCTION("""COMPUTED_VALUE"""),"Sq-1")</f>
        <v>Sq-1</v>
      </c>
      <c r="C273" s="5">
        <f>IFERROR(__xludf.DUMMYFUNCTION("""COMPUTED_VALUE"""),6966.0)</f>
        <v>6966</v>
      </c>
      <c r="D273" s="5"/>
      <c r="E273" s="5"/>
      <c r="F273" s="5">
        <f>IFERROR(__xludf.DUMMYFUNCTION("""COMPUTED_VALUE"""),1.0)</f>
        <v>1</v>
      </c>
      <c r="G273" s="5"/>
      <c r="H273" s="5"/>
      <c r="I273" s="5"/>
      <c r="J273" s="5" t="str">
        <f>IFERROR(__xludf.DUMMYFUNCTION("""COMPUTED_VALUE"""),"CS77266")</f>
        <v>CS77266</v>
      </c>
      <c r="K273" s="5"/>
      <c r="L273" s="5"/>
      <c r="M273" s="5"/>
      <c r="N273" s="5">
        <f>IFERROR(__xludf.DUMMYFUNCTION("""COMPUTED_VALUE"""),13.0)</f>
        <v>13</v>
      </c>
      <c r="O273" s="5"/>
      <c r="P273" s="5"/>
      <c r="Q273" s="5" t="str">
        <f>IFERROR(__xludf.DUMMYFUNCTION("""COMPUTED_VALUE"""),"no")</f>
        <v>no</v>
      </c>
      <c r="R273" s="5" t="str">
        <f>IFERROR(__xludf.DUMMYFUNCTION("""COMPUTED_VALUE"""),"CLR")</f>
        <v>CLR</v>
      </c>
      <c r="S273" s="5"/>
      <c r="T273" s="6" t="str">
        <f>IFERROR(__xludf.DUMMYFUNCTION("""COMPUTED_VALUE"""),"Pool")</f>
        <v>Pool</v>
      </c>
      <c r="U273" s="6">
        <f>IFERROR(__xludf.DUMMYFUNCTION("""COMPUTED_VALUE"""),2024.0)</f>
        <v>2024</v>
      </c>
      <c r="V273" s="6" t="str">
        <f>IFERROR(__xludf.DUMMYFUNCTION("""COMPUTED_VALUE"""),"yes")</f>
        <v>yes</v>
      </c>
      <c r="W273" s="6" t="str">
        <f>IFERROR(__xludf.DUMMYFUNCTION("""COMPUTED_VALUE"""),"Igolkina")</f>
        <v>Igolkina</v>
      </c>
      <c r="X273" s="5">
        <f>IFERROR(__xludf.DUMMYFUNCTION("""COMPUTED_VALUE"""),2024.0)</f>
        <v>2024</v>
      </c>
      <c r="Y273" s="5" t="str">
        <f>IFERROR(__xludf.DUMMYFUNCTION("""COMPUTED_VALUE"""),"bioRxiv")</f>
        <v>bioRxiv</v>
      </c>
      <c r="Z273" s="5"/>
      <c r="AA273" s="7" t="str">
        <f>IFERROR(__xludf.DUMMYFUNCTION("""COMPUTED_VALUE"""),"https://www.biorxiv.org/content/10.1101/2024.05.30.596703v1")</f>
        <v>https://www.biorxiv.org/content/10.1101/2024.05.30.596703v1</v>
      </c>
      <c r="AB273" s="5"/>
    </row>
    <row r="274">
      <c r="A274" s="5">
        <f>IFERROR(__xludf.DUMMYFUNCTION("""COMPUTED_VALUE"""),100272.0)</f>
        <v>100272</v>
      </c>
      <c r="B274" s="5" t="str">
        <f>IFERROR(__xludf.DUMMYFUNCTION("""COMPUTED_VALUE"""),"HSm")</f>
        <v>HSm</v>
      </c>
      <c r="C274" s="5">
        <f>IFERROR(__xludf.DUMMYFUNCTION("""COMPUTED_VALUE"""),8236.0)</f>
        <v>8236</v>
      </c>
      <c r="D274" s="5"/>
      <c r="E274" s="5"/>
      <c r="F274" s="5">
        <f>IFERROR(__xludf.DUMMYFUNCTION("""COMPUTED_VALUE"""),1.0)</f>
        <v>1</v>
      </c>
      <c r="G274" s="5"/>
      <c r="H274" s="5"/>
      <c r="I274" s="5"/>
      <c r="J274" s="5" t="str">
        <f>IFERROR(__xludf.DUMMYFUNCTION("""COMPUTED_VALUE"""),"CS76941")</f>
        <v>CS76941</v>
      </c>
      <c r="K274" s="5"/>
      <c r="L274" s="5"/>
      <c r="M274" s="5"/>
      <c r="N274" s="5">
        <f>IFERROR(__xludf.DUMMYFUNCTION("""COMPUTED_VALUE"""),10.0)</f>
        <v>10</v>
      </c>
      <c r="O274" s="5"/>
      <c r="P274" s="5"/>
      <c r="Q274" s="5" t="str">
        <f>IFERROR(__xludf.DUMMYFUNCTION("""COMPUTED_VALUE"""),"no")</f>
        <v>no</v>
      </c>
      <c r="R274" s="5" t="str">
        <f>IFERROR(__xludf.DUMMYFUNCTION("""COMPUTED_VALUE"""),"CLR")</f>
        <v>CLR</v>
      </c>
      <c r="S274" s="5"/>
      <c r="T274" s="6" t="str">
        <f>IFERROR(__xludf.DUMMYFUNCTION("""COMPUTED_VALUE"""),"Pool")</f>
        <v>Pool</v>
      </c>
      <c r="U274" s="6">
        <f>IFERROR(__xludf.DUMMYFUNCTION("""COMPUTED_VALUE"""),2024.0)</f>
        <v>2024</v>
      </c>
      <c r="V274" s="6" t="str">
        <f>IFERROR(__xludf.DUMMYFUNCTION("""COMPUTED_VALUE"""),"yes")</f>
        <v>yes</v>
      </c>
      <c r="W274" s="6" t="str">
        <f>IFERROR(__xludf.DUMMYFUNCTION("""COMPUTED_VALUE"""),"Igolkina")</f>
        <v>Igolkina</v>
      </c>
      <c r="X274" s="5">
        <f>IFERROR(__xludf.DUMMYFUNCTION("""COMPUTED_VALUE"""),2024.0)</f>
        <v>2024</v>
      </c>
      <c r="Y274" s="5" t="str">
        <f>IFERROR(__xludf.DUMMYFUNCTION("""COMPUTED_VALUE"""),"bioRxiv")</f>
        <v>bioRxiv</v>
      </c>
      <c r="Z274" s="5"/>
      <c r="AA274" s="7" t="str">
        <f>IFERROR(__xludf.DUMMYFUNCTION("""COMPUTED_VALUE"""),"https://www.biorxiv.org/content/10.1101/2024.05.30.596703v1")</f>
        <v>https://www.biorxiv.org/content/10.1101/2024.05.30.596703v1</v>
      </c>
      <c r="AB274" s="5"/>
    </row>
    <row r="275">
      <c r="A275" s="5">
        <f>IFERROR(__xludf.DUMMYFUNCTION("""COMPUTED_VALUE"""),100273.0)</f>
        <v>100273</v>
      </c>
      <c r="B275" s="5" t="str">
        <f>IFERROR(__xludf.DUMMYFUNCTION("""COMPUTED_VALUE"""),"Lerik1-4")</f>
        <v>Lerik1-4</v>
      </c>
      <c r="C275" s="5">
        <f>IFERROR(__xludf.DUMMYFUNCTION("""COMPUTED_VALUE"""),9075.0)</f>
        <v>9075</v>
      </c>
      <c r="D275" s="5"/>
      <c r="E275" s="5"/>
      <c r="F275" s="5">
        <f>IFERROR(__xludf.DUMMYFUNCTION("""COMPUTED_VALUE"""),1.0)</f>
        <v>1</v>
      </c>
      <c r="G275" s="5"/>
      <c r="H275" s="5"/>
      <c r="I275" s="5"/>
      <c r="J275" s="5" t="str">
        <f>IFERROR(__xludf.DUMMYFUNCTION("""COMPUTED_VALUE"""),"CS77023")</f>
        <v>CS77023</v>
      </c>
      <c r="K275" s="5"/>
      <c r="L275" s="5"/>
      <c r="M275" s="5"/>
      <c r="N275" s="5">
        <f>IFERROR(__xludf.DUMMYFUNCTION("""COMPUTED_VALUE"""),23.0)</f>
        <v>23</v>
      </c>
      <c r="O275" s="5"/>
      <c r="P275" s="5"/>
      <c r="Q275" s="5" t="str">
        <f>IFERROR(__xludf.DUMMYFUNCTION("""COMPUTED_VALUE"""),"no")</f>
        <v>no</v>
      </c>
      <c r="R275" s="5" t="str">
        <f>IFERROR(__xludf.DUMMYFUNCTION("""COMPUTED_VALUE"""),"CLR")</f>
        <v>CLR</v>
      </c>
      <c r="S275" s="5"/>
      <c r="T275" s="6" t="str">
        <f>IFERROR(__xludf.DUMMYFUNCTION("""COMPUTED_VALUE"""),"Pool")</f>
        <v>Pool</v>
      </c>
      <c r="U275" s="6">
        <f>IFERROR(__xludf.DUMMYFUNCTION("""COMPUTED_VALUE"""),2024.0)</f>
        <v>2024</v>
      </c>
      <c r="V275" s="6" t="str">
        <f>IFERROR(__xludf.DUMMYFUNCTION("""COMPUTED_VALUE"""),"yes")</f>
        <v>yes</v>
      </c>
      <c r="W275" s="6" t="str">
        <f>IFERROR(__xludf.DUMMYFUNCTION("""COMPUTED_VALUE"""),"Igolkina")</f>
        <v>Igolkina</v>
      </c>
      <c r="X275" s="5">
        <f>IFERROR(__xludf.DUMMYFUNCTION("""COMPUTED_VALUE"""),2024.0)</f>
        <v>2024</v>
      </c>
      <c r="Y275" s="5" t="str">
        <f>IFERROR(__xludf.DUMMYFUNCTION("""COMPUTED_VALUE"""),"bioRxiv")</f>
        <v>bioRxiv</v>
      </c>
      <c r="Z275" s="5"/>
      <c r="AA275" s="7" t="str">
        <f>IFERROR(__xludf.DUMMYFUNCTION("""COMPUTED_VALUE"""),"https://www.biorxiv.org/content/10.1101/2024.05.30.596703v1")</f>
        <v>https://www.biorxiv.org/content/10.1101/2024.05.30.596703v1</v>
      </c>
      <c r="AB275" s="5"/>
    </row>
    <row r="276">
      <c r="A276" s="5">
        <f>IFERROR(__xludf.DUMMYFUNCTION("""COMPUTED_VALUE"""),100274.0)</f>
        <v>100274</v>
      </c>
      <c r="B276" s="5" t="str">
        <f>IFERROR(__xludf.DUMMYFUNCTION("""COMPUTED_VALUE"""),"IP-Cum-1")</f>
        <v>IP-Cum-1</v>
      </c>
      <c r="C276" s="5">
        <f>IFERROR(__xludf.DUMMYFUNCTION("""COMPUTED_VALUE"""),9537.0)</f>
        <v>9537</v>
      </c>
      <c r="D276" s="5"/>
      <c r="E276" s="5"/>
      <c r="F276" s="5">
        <f>IFERROR(__xludf.DUMMYFUNCTION("""COMPUTED_VALUE"""),1.0)</f>
        <v>1</v>
      </c>
      <c r="G276" s="5"/>
      <c r="H276" s="5"/>
      <c r="I276" s="5"/>
      <c r="J276" s="5" t="str">
        <f>IFERROR(__xludf.DUMMYFUNCTION("""COMPUTED_VALUE"""),"CS76787")</f>
        <v>CS76787</v>
      </c>
      <c r="K276" s="5"/>
      <c r="L276" s="5"/>
      <c r="M276" s="5"/>
      <c r="N276" s="5">
        <f>IFERROR(__xludf.DUMMYFUNCTION("""COMPUTED_VALUE"""),15.0)</f>
        <v>15</v>
      </c>
      <c r="O276" s="5"/>
      <c r="P276" s="5"/>
      <c r="Q276" s="5" t="str">
        <f>IFERROR(__xludf.DUMMYFUNCTION("""COMPUTED_VALUE"""),"no")</f>
        <v>no</v>
      </c>
      <c r="R276" s="5" t="str">
        <f>IFERROR(__xludf.DUMMYFUNCTION("""COMPUTED_VALUE"""),"CLR")</f>
        <v>CLR</v>
      </c>
      <c r="S276" s="5"/>
      <c r="T276" s="6" t="str">
        <f>IFERROR(__xludf.DUMMYFUNCTION("""COMPUTED_VALUE"""),"Pool")</f>
        <v>Pool</v>
      </c>
      <c r="U276" s="6">
        <f>IFERROR(__xludf.DUMMYFUNCTION("""COMPUTED_VALUE"""),2024.0)</f>
        <v>2024</v>
      </c>
      <c r="V276" s="6" t="str">
        <f>IFERROR(__xludf.DUMMYFUNCTION("""COMPUTED_VALUE"""),"yes")</f>
        <v>yes</v>
      </c>
      <c r="W276" s="6" t="str">
        <f>IFERROR(__xludf.DUMMYFUNCTION("""COMPUTED_VALUE"""),"Igolkina")</f>
        <v>Igolkina</v>
      </c>
      <c r="X276" s="5">
        <f>IFERROR(__xludf.DUMMYFUNCTION("""COMPUTED_VALUE"""),2024.0)</f>
        <v>2024</v>
      </c>
      <c r="Y276" s="5" t="str">
        <f>IFERROR(__xludf.DUMMYFUNCTION("""COMPUTED_VALUE"""),"bioRxiv")</f>
        <v>bioRxiv</v>
      </c>
      <c r="Z276" s="5"/>
      <c r="AA276" s="7" t="str">
        <f>IFERROR(__xludf.DUMMYFUNCTION("""COMPUTED_VALUE"""),"https://www.biorxiv.org/content/10.1101/2024.05.30.596703v1")</f>
        <v>https://www.biorxiv.org/content/10.1101/2024.05.30.596703v1</v>
      </c>
      <c r="AB276" s="5"/>
    </row>
    <row r="277">
      <c r="A277" s="5">
        <f>IFERROR(__xludf.DUMMYFUNCTION("""COMPUTED_VALUE"""),100275.0)</f>
        <v>100275</v>
      </c>
      <c r="B277" s="5" t="str">
        <f>IFERROR(__xludf.DUMMYFUNCTION("""COMPUTED_VALUE"""),"IP-Gra-0")</f>
        <v>IP-Gra-0</v>
      </c>
      <c r="C277" s="5">
        <f>IFERROR(__xludf.DUMMYFUNCTION("""COMPUTED_VALUE"""),9543.0)</f>
        <v>9543</v>
      </c>
      <c r="D277" s="5"/>
      <c r="E277" s="5"/>
      <c r="F277" s="5">
        <f>IFERROR(__xludf.DUMMYFUNCTION("""COMPUTED_VALUE"""),1.0)</f>
        <v>1</v>
      </c>
      <c r="G277" s="5"/>
      <c r="H277" s="5"/>
      <c r="I277" s="5"/>
      <c r="J277" s="5" t="str">
        <f>IFERROR(__xludf.DUMMYFUNCTION("""COMPUTED_VALUE"""),"CS76886")</f>
        <v>CS76886</v>
      </c>
      <c r="K277" s="5"/>
      <c r="L277" s="5"/>
      <c r="M277" s="5"/>
      <c r="N277" s="5">
        <f>IFERROR(__xludf.DUMMYFUNCTION("""COMPUTED_VALUE"""),10.0)</f>
        <v>10</v>
      </c>
      <c r="O277" s="5"/>
      <c r="P277" s="5"/>
      <c r="Q277" s="5" t="str">
        <f>IFERROR(__xludf.DUMMYFUNCTION("""COMPUTED_VALUE"""),"no")</f>
        <v>no</v>
      </c>
      <c r="R277" s="5" t="str">
        <f>IFERROR(__xludf.DUMMYFUNCTION("""COMPUTED_VALUE"""),"CLR")</f>
        <v>CLR</v>
      </c>
      <c r="S277" s="5"/>
      <c r="T277" s="6" t="str">
        <f>IFERROR(__xludf.DUMMYFUNCTION("""COMPUTED_VALUE"""),"Pool")</f>
        <v>Pool</v>
      </c>
      <c r="U277" s="6">
        <f>IFERROR(__xludf.DUMMYFUNCTION("""COMPUTED_VALUE"""),2024.0)</f>
        <v>2024</v>
      </c>
      <c r="V277" s="6" t="str">
        <f>IFERROR(__xludf.DUMMYFUNCTION("""COMPUTED_VALUE"""),"yes")</f>
        <v>yes</v>
      </c>
      <c r="W277" s="6" t="str">
        <f>IFERROR(__xludf.DUMMYFUNCTION("""COMPUTED_VALUE"""),"Igolkina")</f>
        <v>Igolkina</v>
      </c>
      <c r="X277" s="5">
        <f>IFERROR(__xludf.DUMMYFUNCTION("""COMPUTED_VALUE"""),2024.0)</f>
        <v>2024</v>
      </c>
      <c r="Y277" s="5" t="str">
        <f>IFERROR(__xludf.DUMMYFUNCTION("""COMPUTED_VALUE"""),"bioRxiv")</f>
        <v>bioRxiv</v>
      </c>
      <c r="Z277" s="5"/>
      <c r="AA277" s="7" t="str">
        <f>IFERROR(__xludf.DUMMYFUNCTION("""COMPUTED_VALUE"""),"https://www.biorxiv.org/content/10.1101/2024.05.30.596703v1")</f>
        <v>https://www.biorxiv.org/content/10.1101/2024.05.30.596703v1</v>
      </c>
      <c r="AB277" s="5"/>
    </row>
    <row r="278">
      <c r="A278" s="5">
        <f>IFERROR(__xludf.DUMMYFUNCTION("""COMPUTED_VALUE"""),100276.0)</f>
        <v>100276</v>
      </c>
      <c r="B278" s="5" t="str">
        <f>IFERROR(__xludf.DUMMYFUNCTION("""COMPUTED_VALUE"""),"Noveg-3")</f>
        <v>Noveg-3</v>
      </c>
      <c r="C278" s="5">
        <f>IFERROR(__xludf.DUMMYFUNCTION("""COMPUTED_VALUE"""),9638.0)</f>
        <v>9638</v>
      </c>
      <c r="D278" s="5"/>
      <c r="E278" s="5"/>
      <c r="F278" s="5">
        <f>IFERROR(__xludf.DUMMYFUNCTION("""COMPUTED_VALUE"""),1.0)</f>
        <v>1</v>
      </c>
      <c r="G278" s="5"/>
      <c r="H278" s="5"/>
      <c r="I278" s="5"/>
      <c r="J278" s="5" t="str">
        <f>IFERROR(__xludf.DUMMYFUNCTION("""COMPUTED_VALUE"""),"CS77133")</f>
        <v>CS77133</v>
      </c>
      <c r="K278" s="5"/>
      <c r="L278" s="5"/>
      <c r="M278" s="5"/>
      <c r="N278" s="5">
        <f>IFERROR(__xludf.DUMMYFUNCTION("""COMPUTED_VALUE"""),12.0)</f>
        <v>12</v>
      </c>
      <c r="O278" s="5"/>
      <c r="P278" s="5"/>
      <c r="Q278" s="5" t="str">
        <f>IFERROR(__xludf.DUMMYFUNCTION("""COMPUTED_VALUE"""),"no")</f>
        <v>no</v>
      </c>
      <c r="R278" s="5" t="str">
        <f>IFERROR(__xludf.DUMMYFUNCTION("""COMPUTED_VALUE"""),"CLR")</f>
        <v>CLR</v>
      </c>
      <c r="S278" s="5"/>
      <c r="T278" s="6" t="str">
        <f>IFERROR(__xludf.DUMMYFUNCTION("""COMPUTED_VALUE"""),"Pool")</f>
        <v>Pool</v>
      </c>
      <c r="U278" s="6">
        <f>IFERROR(__xludf.DUMMYFUNCTION("""COMPUTED_VALUE"""),2024.0)</f>
        <v>2024</v>
      </c>
      <c r="V278" s="6" t="str">
        <f>IFERROR(__xludf.DUMMYFUNCTION("""COMPUTED_VALUE"""),"yes")</f>
        <v>yes</v>
      </c>
      <c r="W278" s="6" t="str">
        <f>IFERROR(__xludf.DUMMYFUNCTION("""COMPUTED_VALUE"""),"Igolkina")</f>
        <v>Igolkina</v>
      </c>
      <c r="X278" s="5">
        <f>IFERROR(__xludf.DUMMYFUNCTION("""COMPUTED_VALUE"""),2024.0)</f>
        <v>2024</v>
      </c>
      <c r="Y278" s="5" t="str">
        <f>IFERROR(__xludf.DUMMYFUNCTION("""COMPUTED_VALUE"""),"bioRxiv")</f>
        <v>bioRxiv</v>
      </c>
      <c r="Z278" s="5"/>
      <c r="AA278" s="7" t="str">
        <f>IFERROR(__xludf.DUMMYFUNCTION("""COMPUTED_VALUE"""),"https://www.biorxiv.org/content/10.1101/2024.05.30.596703v1")</f>
        <v>https://www.biorxiv.org/content/10.1101/2024.05.30.596703v1</v>
      </c>
      <c r="AB278" s="5"/>
    </row>
    <row r="279">
      <c r="A279" s="5">
        <f>IFERROR(__xludf.DUMMYFUNCTION("""COMPUTED_VALUE"""),100277.0)</f>
        <v>100277</v>
      </c>
      <c r="B279" s="5" t="str">
        <f>IFERROR(__xludf.DUMMYFUNCTION("""COMPUTED_VALUE"""),"Stiav-1")</f>
        <v>Stiav-1</v>
      </c>
      <c r="C279" s="5">
        <f>IFERROR(__xludf.DUMMYFUNCTION("""COMPUTED_VALUE"""),9728.0)</f>
        <v>9728</v>
      </c>
      <c r="D279" s="5"/>
      <c r="E279" s="5"/>
      <c r="F279" s="5">
        <f>IFERROR(__xludf.DUMMYFUNCTION("""COMPUTED_VALUE"""),1.0)</f>
        <v>1</v>
      </c>
      <c r="G279" s="5"/>
      <c r="H279" s="5"/>
      <c r="I279" s="5"/>
      <c r="J279" s="5" t="str">
        <f>IFERROR(__xludf.DUMMYFUNCTION("""COMPUTED_VALUE"""),"CS77279")</f>
        <v>CS77279</v>
      </c>
      <c r="K279" s="5"/>
      <c r="L279" s="5"/>
      <c r="M279" s="5"/>
      <c r="N279" s="5">
        <f>IFERROR(__xludf.DUMMYFUNCTION("""COMPUTED_VALUE"""),19.0)</f>
        <v>19</v>
      </c>
      <c r="O279" s="5"/>
      <c r="P279" s="5"/>
      <c r="Q279" s="5" t="str">
        <f>IFERROR(__xludf.DUMMYFUNCTION("""COMPUTED_VALUE"""),"no")</f>
        <v>no</v>
      </c>
      <c r="R279" s="5" t="str">
        <f>IFERROR(__xludf.DUMMYFUNCTION("""COMPUTED_VALUE"""),"CLR")</f>
        <v>CLR</v>
      </c>
      <c r="S279" s="5"/>
      <c r="T279" s="6" t="str">
        <f>IFERROR(__xludf.DUMMYFUNCTION("""COMPUTED_VALUE"""),"Pool")</f>
        <v>Pool</v>
      </c>
      <c r="U279" s="6">
        <f>IFERROR(__xludf.DUMMYFUNCTION("""COMPUTED_VALUE"""),2024.0)</f>
        <v>2024</v>
      </c>
      <c r="V279" s="6" t="str">
        <f>IFERROR(__xludf.DUMMYFUNCTION("""COMPUTED_VALUE"""),"yes")</f>
        <v>yes</v>
      </c>
      <c r="W279" s="6" t="str">
        <f>IFERROR(__xludf.DUMMYFUNCTION("""COMPUTED_VALUE"""),"Igolkina")</f>
        <v>Igolkina</v>
      </c>
      <c r="X279" s="5">
        <f>IFERROR(__xludf.DUMMYFUNCTION("""COMPUTED_VALUE"""),2024.0)</f>
        <v>2024</v>
      </c>
      <c r="Y279" s="5" t="str">
        <f>IFERROR(__xludf.DUMMYFUNCTION("""COMPUTED_VALUE"""),"bioRxiv")</f>
        <v>bioRxiv</v>
      </c>
      <c r="Z279" s="5"/>
      <c r="AA279" s="7" t="str">
        <f>IFERROR(__xludf.DUMMYFUNCTION("""COMPUTED_VALUE"""),"https://www.biorxiv.org/content/10.1101/2024.05.30.596703v1")</f>
        <v>https://www.biorxiv.org/content/10.1101/2024.05.30.596703v1</v>
      </c>
      <c r="AB279" s="5"/>
    </row>
    <row r="280">
      <c r="A280" s="5">
        <f>IFERROR(__xludf.DUMMYFUNCTION("""COMPUTED_VALUE"""),100278.0)</f>
        <v>100278</v>
      </c>
      <c r="B280" s="5" t="str">
        <f>IFERROR(__xludf.DUMMYFUNCTION("""COMPUTED_VALUE"""),"Qar-8a")</f>
        <v>Qar-8a</v>
      </c>
      <c r="C280" s="5">
        <f>IFERROR(__xludf.DUMMYFUNCTION("""COMPUTED_VALUE"""),9764.0)</f>
        <v>9764</v>
      </c>
      <c r="D280" s="5"/>
      <c r="E280" s="5"/>
      <c r="F280" s="5">
        <f>IFERROR(__xludf.DUMMYFUNCTION("""COMPUTED_VALUE"""),1.0)</f>
        <v>1</v>
      </c>
      <c r="G280" s="5"/>
      <c r="H280" s="5"/>
      <c r="I280" s="5"/>
      <c r="J280" s="5" t="str">
        <f>IFERROR(__xludf.DUMMYFUNCTION("""COMPUTED_VALUE"""),"CS76581")</f>
        <v>CS76581</v>
      </c>
      <c r="K280" s="5"/>
      <c r="L280" s="5"/>
      <c r="M280" s="5"/>
      <c r="N280" s="5">
        <f>IFERROR(__xludf.DUMMYFUNCTION("""COMPUTED_VALUE"""),12.0)</f>
        <v>12</v>
      </c>
      <c r="O280" s="5"/>
      <c r="P280" s="5"/>
      <c r="Q280" s="5" t="str">
        <f>IFERROR(__xludf.DUMMYFUNCTION("""COMPUTED_VALUE"""),"no")</f>
        <v>no</v>
      </c>
      <c r="R280" s="5" t="str">
        <f>IFERROR(__xludf.DUMMYFUNCTION("""COMPUTED_VALUE"""),"CLR")</f>
        <v>CLR</v>
      </c>
      <c r="S280" s="5"/>
      <c r="T280" s="6" t="str">
        <f>IFERROR(__xludf.DUMMYFUNCTION("""COMPUTED_VALUE"""),"Pool")</f>
        <v>Pool</v>
      </c>
      <c r="U280" s="6">
        <f>IFERROR(__xludf.DUMMYFUNCTION("""COMPUTED_VALUE"""),2024.0)</f>
        <v>2024</v>
      </c>
      <c r="V280" s="6" t="str">
        <f>IFERROR(__xludf.DUMMYFUNCTION("""COMPUTED_VALUE"""),"yes")</f>
        <v>yes</v>
      </c>
      <c r="W280" s="6" t="str">
        <f>IFERROR(__xludf.DUMMYFUNCTION("""COMPUTED_VALUE"""),"Igolkina")</f>
        <v>Igolkina</v>
      </c>
      <c r="X280" s="5">
        <f>IFERROR(__xludf.DUMMYFUNCTION("""COMPUTED_VALUE"""),2024.0)</f>
        <v>2024</v>
      </c>
      <c r="Y280" s="5" t="str">
        <f>IFERROR(__xludf.DUMMYFUNCTION("""COMPUTED_VALUE"""),"bioRxiv")</f>
        <v>bioRxiv</v>
      </c>
      <c r="Z280" s="5"/>
      <c r="AA280" s="7" t="str">
        <f>IFERROR(__xludf.DUMMYFUNCTION("""COMPUTED_VALUE"""),"https://www.biorxiv.org/content/10.1101/2024.05.30.596703v1")</f>
        <v>https://www.biorxiv.org/content/10.1101/2024.05.30.596703v1</v>
      </c>
      <c r="AB280" s="5"/>
    </row>
    <row r="281">
      <c r="A281" s="5">
        <f>IFERROR(__xludf.DUMMYFUNCTION("""COMPUTED_VALUE"""),100279.0)</f>
        <v>100279</v>
      </c>
      <c r="B281" s="5" t="str">
        <f>IFERROR(__xludf.DUMMYFUNCTION("""COMPUTED_VALUE"""),"IP-Pva-1")</f>
        <v>IP-Pva-1</v>
      </c>
      <c r="C281" s="5">
        <f>IFERROR(__xludf.DUMMYFUNCTION("""COMPUTED_VALUE"""),9888.0)</f>
        <v>9888</v>
      </c>
      <c r="D281" s="5"/>
      <c r="E281" s="5"/>
      <c r="F281" s="5">
        <f>IFERROR(__xludf.DUMMYFUNCTION("""COMPUTED_VALUE"""),1.0)</f>
        <v>1</v>
      </c>
      <c r="G281" s="5"/>
      <c r="H281" s="5"/>
      <c r="I281" s="5"/>
      <c r="J281" s="5" t="str">
        <f>IFERROR(__xludf.DUMMYFUNCTION("""COMPUTED_VALUE"""),"CS77197")</f>
        <v>CS77197</v>
      </c>
      <c r="K281" s="5"/>
      <c r="L281" s="5"/>
      <c r="M281" s="5"/>
      <c r="N281" s="5">
        <f>IFERROR(__xludf.DUMMYFUNCTION("""COMPUTED_VALUE"""),10.0)</f>
        <v>10</v>
      </c>
      <c r="O281" s="5"/>
      <c r="P281" s="5"/>
      <c r="Q281" s="5" t="str">
        <f>IFERROR(__xludf.DUMMYFUNCTION("""COMPUTED_VALUE"""),"no")</f>
        <v>no</v>
      </c>
      <c r="R281" s="5" t="str">
        <f>IFERROR(__xludf.DUMMYFUNCTION("""COMPUTED_VALUE"""),"CLR")</f>
        <v>CLR</v>
      </c>
      <c r="S281" s="5"/>
      <c r="T281" s="6" t="str">
        <f>IFERROR(__xludf.DUMMYFUNCTION("""COMPUTED_VALUE"""),"Pool")</f>
        <v>Pool</v>
      </c>
      <c r="U281" s="6">
        <f>IFERROR(__xludf.DUMMYFUNCTION("""COMPUTED_VALUE"""),2024.0)</f>
        <v>2024</v>
      </c>
      <c r="V281" s="6" t="str">
        <f>IFERROR(__xludf.DUMMYFUNCTION("""COMPUTED_VALUE"""),"yes")</f>
        <v>yes</v>
      </c>
      <c r="W281" s="6" t="str">
        <f>IFERROR(__xludf.DUMMYFUNCTION("""COMPUTED_VALUE"""),"Igolkina")</f>
        <v>Igolkina</v>
      </c>
      <c r="X281" s="5">
        <f>IFERROR(__xludf.DUMMYFUNCTION("""COMPUTED_VALUE"""),2024.0)</f>
        <v>2024</v>
      </c>
      <c r="Y281" s="5" t="str">
        <f>IFERROR(__xludf.DUMMYFUNCTION("""COMPUTED_VALUE"""),"bioRxiv")</f>
        <v>bioRxiv</v>
      </c>
      <c r="Z281" s="5"/>
      <c r="AA281" s="7" t="str">
        <f>IFERROR(__xludf.DUMMYFUNCTION("""COMPUTED_VALUE"""),"https://www.biorxiv.org/content/10.1101/2024.05.30.596703v1")</f>
        <v>https://www.biorxiv.org/content/10.1101/2024.05.30.596703v1</v>
      </c>
      <c r="AB281" s="5"/>
    </row>
    <row r="282">
      <c r="A282" s="5">
        <f>IFERROR(__xludf.DUMMYFUNCTION("""COMPUTED_VALUE"""),100280.0)</f>
        <v>100280</v>
      </c>
      <c r="B282" s="5" t="str">
        <f>IFERROR(__xludf.DUMMYFUNCTION("""COMPUTED_VALUE"""),"IP-Ven-0")</f>
        <v>IP-Ven-0</v>
      </c>
      <c r="C282" s="5">
        <f>IFERROR(__xludf.DUMMYFUNCTION("""COMPUTED_VALUE"""),9905.0)</f>
        <v>9905</v>
      </c>
      <c r="D282" s="5"/>
      <c r="E282" s="5"/>
      <c r="F282" s="5">
        <f>IFERROR(__xludf.DUMMYFUNCTION("""COMPUTED_VALUE"""),1.0)</f>
        <v>1</v>
      </c>
      <c r="G282" s="5"/>
      <c r="H282" s="5"/>
      <c r="I282" s="5"/>
      <c r="J282" s="5" t="str">
        <f>IFERROR(__xludf.DUMMYFUNCTION("""COMPUTED_VALUE"""),"CS78840")</f>
        <v>CS78840</v>
      </c>
      <c r="K282" s="5"/>
      <c r="L282" s="5"/>
      <c r="M282" s="5"/>
      <c r="N282" s="5">
        <f>IFERROR(__xludf.DUMMYFUNCTION("""COMPUTED_VALUE"""),13.0)</f>
        <v>13</v>
      </c>
      <c r="O282" s="5"/>
      <c r="P282" s="5"/>
      <c r="Q282" s="5" t="str">
        <f>IFERROR(__xludf.DUMMYFUNCTION("""COMPUTED_VALUE"""),"no")</f>
        <v>no</v>
      </c>
      <c r="R282" s="5" t="str">
        <f>IFERROR(__xludf.DUMMYFUNCTION("""COMPUTED_VALUE"""),"CLR")</f>
        <v>CLR</v>
      </c>
      <c r="S282" s="5"/>
      <c r="T282" s="6" t="str">
        <f>IFERROR(__xludf.DUMMYFUNCTION("""COMPUTED_VALUE"""),"Pool")</f>
        <v>Pool</v>
      </c>
      <c r="U282" s="6">
        <f>IFERROR(__xludf.DUMMYFUNCTION("""COMPUTED_VALUE"""),2024.0)</f>
        <v>2024</v>
      </c>
      <c r="V282" s="6" t="str">
        <f>IFERROR(__xludf.DUMMYFUNCTION("""COMPUTED_VALUE"""),"yes")</f>
        <v>yes</v>
      </c>
      <c r="W282" s="6" t="str">
        <f>IFERROR(__xludf.DUMMYFUNCTION("""COMPUTED_VALUE"""),"Igolkina")</f>
        <v>Igolkina</v>
      </c>
      <c r="X282" s="5">
        <f>IFERROR(__xludf.DUMMYFUNCTION("""COMPUTED_VALUE"""),2024.0)</f>
        <v>2024</v>
      </c>
      <c r="Y282" s="5" t="str">
        <f>IFERROR(__xludf.DUMMYFUNCTION("""COMPUTED_VALUE"""),"bioRxiv")</f>
        <v>bioRxiv</v>
      </c>
      <c r="Z282" s="5"/>
      <c r="AA282" s="7" t="str">
        <f>IFERROR(__xludf.DUMMYFUNCTION("""COMPUTED_VALUE"""),"https://www.biorxiv.org/content/10.1101/2024.05.30.596703v1")</f>
        <v>https://www.biorxiv.org/content/10.1101/2024.05.30.596703v1</v>
      </c>
      <c r="AB282" s="5"/>
    </row>
    <row r="283">
      <c r="A283" s="5">
        <f>IFERROR(__xludf.DUMMYFUNCTION("""COMPUTED_VALUE"""),100281.0)</f>
        <v>100281</v>
      </c>
      <c r="B283" s="5" t="str">
        <f>IFERROR(__xludf.DUMMYFUNCTION("""COMPUTED_VALUE"""),"Angit-1")</f>
        <v>Angit-1</v>
      </c>
      <c r="C283" s="5">
        <f>IFERROR(__xludf.DUMMYFUNCTION("""COMPUTED_VALUE"""),9981.0)</f>
        <v>9981</v>
      </c>
      <c r="D283" s="5"/>
      <c r="E283" s="5"/>
      <c r="F283" s="5">
        <f>IFERROR(__xludf.DUMMYFUNCTION("""COMPUTED_VALUE"""),1.0)</f>
        <v>1</v>
      </c>
      <c r="G283" s="5"/>
      <c r="H283" s="5"/>
      <c r="I283" s="5"/>
      <c r="J283" s="5" t="str">
        <f>IFERROR(__xludf.DUMMYFUNCTION("""COMPUTED_VALUE"""),"CS76366")</f>
        <v>CS76366</v>
      </c>
      <c r="K283" s="5"/>
      <c r="L283" s="5"/>
      <c r="M283" s="5"/>
      <c r="N283" s="5">
        <f>IFERROR(__xludf.DUMMYFUNCTION("""COMPUTED_VALUE"""),8.0)</f>
        <v>8</v>
      </c>
      <c r="O283" s="5"/>
      <c r="P283" s="5"/>
      <c r="Q283" s="5" t="str">
        <f>IFERROR(__xludf.DUMMYFUNCTION("""COMPUTED_VALUE"""),"no")</f>
        <v>no</v>
      </c>
      <c r="R283" s="5" t="str">
        <f>IFERROR(__xludf.DUMMYFUNCTION("""COMPUTED_VALUE"""),"CLR")</f>
        <v>CLR</v>
      </c>
      <c r="S283" s="5"/>
      <c r="T283" s="6" t="str">
        <f>IFERROR(__xludf.DUMMYFUNCTION("""COMPUTED_VALUE"""),"Pool")</f>
        <v>Pool</v>
      </c>
      <c r="U283" s="6">
        <f>IFERROR(__xludf.DUMMYFUNCTION("""COMPUTED_VALUE"""),2024.0)</f>
        <v>2024</v>
      </c>
      <c r="V283" s="6" t="str">
        <f>IFERROR(__xludf.DUMMYFUNCTION("""COMPUTED_VALUE"""),"yes")</f>
        <v>yes</v>
      </c>
      <c r="W283" s="6" t="str">
        <f>IFERROR(__xludf.DUMMYFUNCTION("""COMPUTED_VALUE"""),"Igolkina")</f>
        <v>Igolkina</v>
      </c>
      <c r="X283" s="5">
        <f>IFERROR(__xludf.DUMMYFUNCTION("""COMPUTED_VALUE"""),2024.0)</f>
        <v>2024</v>
      </c>
      <c r="Y283" s="5" t="str">
        <f>IFERROR(__xludf.DUMMYFUNCTION("""COMPUTED_VALUE"""),"bioRxiv")</f>
        <v>bioRxiv</v>
      </c>
      <c r="Z283" s="5"/>
      <c r="AA283" s="7" t="str">
        <f>IFERROR(__xludf.DUMMYFUNCTION("""COMPUTED_VALUE"""),"https://www.biorxiv.org/content/10.1101/2024.05.30.596703v1")</f>
        <v>https://www.biorxiv.org/content/10.1101/2024.05.30.596703v1</v>
      </c>
      <c r="AB283" s="5"/>
    </row>
    <row r="284">
      <c r="A284" s="5">
        <f>IFERROR(__xludf.DUMMYFUNCTION("""COMPUTED_VALUE"""),100282.0)</f>
        <v>100282</v>
      </c>
      <c r="B284" s="5" t="str">
        <f>IFERROR(__xludf.DUMMYFUNCTION("""COMPUTED_VALUE"""),"TueWa1-2")</f>
        <v>TueWa1-2</v>
      </c>
      <c r="C284" s="5">
        <f>IFERROR(__xludf.DUMMYFUNCTION("""COMPUTED_VALUE"""),10002.0)</f>
        <v>10002</v>
      </c>
      <c r="D284" s="5"/>
      <c r="E284" s="5"/>
      <c r="F284" s="5">
        <f>IFERROR(__xludf.DUMMYFUNCTION("""COMPUTED_VALUE"""),1.0)</f>
        <v>1</v>
      </c>
      <c r="G284" s="5"/>
      <c r="H284" s="5"/>
      <c r="I284" s="5"/>
      <c r="J284" s="5" t="str">
        <f>IFERROR(__xludf.DUMMYFUNCTION("""COMPUTED_VALUE"""),"CS76405")</f>
        <v>CS76405</v>
      </c>
      <c r="K284" s="5"/>
      <c r="L284" s="5"/>
      <c r="M284" s="5"/>
      <c r="N284" s="5">
        <f>IFERROR(__xludf.DUMMYFUNCTION("""COMPUTED_VALUE"""),7.0)</f>
        <v>7</v>
      </c>
      <c r="O284" s="5"/>
      <c r="P284" s="5"/>
      <c r="Q284" s="5" t="str">
        <f>IFERROR(__xludf.DUMMYFUNCTION("""COMPUTED_VALUE"""),"no")</f>
        <v>no</v>
      </c>
      <c r="R284" s="5" t="str">
        <f>IFERROR(__xludf.DUMMYFUNCTION("""COMPUTED_VALUE"""),"CLR")</f>
        <v>CLR</v>
      </c>
      <c r="S284" s="5"/>
      <c r="T284" s="6" t="str">
        <f>IFERROR(__xludf.DUMMYFUNCTION("""COMPUTED_VALUE"""),"Pool")</f>
        <v>Pool</v>
      </c>
      <c r="U284" s="6">
        <f>IFERROR(__xludf.DUMMYFUNCTION("""COMPUTED_VALUE"""),2024.0)</f>
        <v>2024</v>
      </c>
      <c r="V284" s="6" t="str">
        <f>IFERROR(__xludf.DUMMYFUNCTION("""COMPUTED_VALUE"""),"yes")</f>
        <v>yes</v>
      </c>
      <c r="W284" s="6" t="str">
        <f>IFERROR(__xludf.DUMMYFUNCTION("""COMPUTED_VALUE"""),"Igolkina")</f>
        <v>Igolkina</v>
      </c>
      <c r="X284" s="5">
        <f>IFERROR(__xludf.DUMMYFUNCTION("""COMPUTED_VALUE"""),2024.0)</f>
        <v>2024</v>
      </c>
      <c r="Y284" s="5" t="str">
        <f>IFERROR(__xludf.DUMMYFUNCTION("""COMPUTED_VALUE"""),"bioRxiv")</f>
        <v>bioRxiv</v>
      </c>
      <c r="Z284" s="5"/>
      <c r="AA284" s="7" t="str">
        <f>IFERROR(__xludf.DUMMYFUNCTION("""COMPUTED_VALUE"""),"https://www.biorxiv.org/content/10.1101/2024.05.30.596703v1")</f>
        <v>https://www.biorxiv.org/content/10.1101/2024.05.30.596703v1</v>
      </c>
      <c r="AB284" s="5"/>
    </row>
    <row r="285">
      <c r="A285" s="5">
        <f>IFERROR(__xludf.DUMMYFUNCTION("""COMPUTED_VALUE"""),100283.0)</f>
        <v>100283</v>
      </c>
      <c r="B285" s="5" t="str">
        <f>IFERROR(__xludf.DUMMYFUNCTION("""COMPUTED_VALUE"""),"Shahdara")</f>
        <v>Shahdara</v>
      </c>
      <c r="C285" s="5">
        <f>IFERROR(__xludf.DUMMYFUNCTION("""COMPUTED_VALUE"""),6962.0)</f>
        <v>6962</v>
      </c>
      <c r="D285" s="5"/>
      <c r="E285" s="5"/>
      <c r="F285" s="5">
        <f>IFERROR(__xludf.DUMMYFUNCTION("""COMPUTED_VALUE"""),1.0)</f>
        <v>1</v>
      </c>
      <c r="G285" s="5"/>
      <c r="H285" s="5"/>
      <c r="I285" s="5"/>
      <c r="J285" s="5" t="str">
        <f>IFERROR(__xludf.DUMMYFUNCTION("""COMPUTED_VALUE"""),"CS929")</f>
        <v>CS929</v>
      </c>
      <c r="K285" s="5"/>
      <c r="L285" s="5"/>
      <c r="M285" s="5"/>
      <c r="N285" s="5">
        <f>IFERROR(__xludf.DUMMYFUNCTION("""COMPUTED_VALUE"""),10.0)</f>
        <v>10</v>
      </c>
      <c r="O285" s="5"/>
      <c r="P285" s="5"/>
      <c r="Q285" s="5" t="str">
        <f>IFERROR(__xludf.DUMMYFUNCTION("""COMPUTED_VALUE"""),"no")</f>
        <v>no</v>
      </c>
      <c r="R285" s="5" t="str">
        <f>IFERROR(__xludf.DUMMYFUNCTION("""COMPUTED_VALUE"""),"CLR")</f>
        <v>CLR</v>
      </c>
      <c r="S285" s="5"/>
      <c r="T285" s="6" t="str">
        <f>IFERROR(__xludf.DUMMYFUNCTION("""COMPUTED_VALUE"""),"Pool")</f>
        <v>Pool</v>
      </c>
      <c r="U285" s="6">
        <f>IFERROR(__xludf.DUMMYFUNCTION("""COMPUTED_VALUE"""),2024.0)</f>
        <v>2024</v>
      </c>
      <c r="V285" s="6" t="str">
        <f>IFERROR(__xludf.DUMMYFUNCTION("""COMPUTED_VALUE"""),"yes")</f>
        <v>yes</v>
      </c>
      <c r="W285" s="6" t="str">
        <f>IFERROR(__xludf.DUMMYFUNCTION("""COMPUTED_VALUE"""),"Igolkina")</f>
        <v>Igolkina</v>
      </c>
      <c r="X285" s="5">
        <f>IFERROR(__xludf.DUMMYFUNCTION("""COMPUTED_VALUE"""),2024.0)</f>
        <v>2024</v>
      </c>
      <c r="Y285" s="5" t="str">
        <f>IFERROR(__xludf.DUMMYFUNCTION("""COMPUTED_VALUE"""),"bioRxiv")</f>
        <v>bioRxiv</v>
      </c>
      <c r="Z285" s="5"/>
      <c r="AA285" s="7" t="str">
        <f>IFERROR(__xludf.DUMMYFUNCTION("""COMPUTED_VALUE"""),"https://www.biorxiv.org/content/10.1101/2024.05.30.596703v1")</f>
        <v>https://www.biorxiv.org/content/10.1101/2024.05.30.596703v1</v>
      </c>
      <c r="AB285" s="5"/>
    </row>
    <row r="286">
      <c r="A286" s="5">
        <f>IFERROR(__xludf.DUMMYFUNCTION("""COMPUTED_VALUE"""),100284.0)</f>
        <v>100284</v>
      </c>
      <c r="B286" s="5" t="str">
        <f>IFERROR(__xludf.DUMMYFUNCTION("""COMPUTED_VALUE"""),"Tnz-1")</f>
        <v>Tnz-1</v>
      </c>
      <c r="C286" s="5">
        <f>IFERROR(__xludf.DUMMYFUNCTION("""COMPUTED_VALUE"""),10024.0)</f>
        <v>10024</v>
      </c>
      <c r="D286" s="5"/>
      <c r="E286" s="5"/>
      <c r="F286" s="5">
        <f>IFERROR(__xludf.DUMMYFUNCTION("""COMPUTED_VALUE"""),1.0)</f>
        <v>1</v>
      </c>
      <c r="G286" s="5"/>
      <c r="H286" s="5" t="str">
        <f>IFERROR(__xludf.DUMMYFUNCTION("""COMPUTED_VALUE"""),"FALSE; different Name/ID")</f>
        <v>FALSE; different Name/ID</v>
      </c>
      <c r="I286" s="5"/>
      <c r="J286" s="5" t="str">
        <f>IFERROR(__xludf.DUMMYFUNCTION("""COMPUTED_VALUE"""),"CS77369")</f>
        <v>CS77369</v>
      </c>
      <c r="K286" s="5"/>
      <c r="L286" s="5"/>
      <c r="M286" s="5"/>
      <c r="N286" s="5">
        <f>IFERROR(__xludf.DUMMYFUNCTION("""COMPUTED_VALUE"""),17.0)</f>
        <v>17</v>
      </c>
      <c r="O286" s="5"/>
      <c r="P286" s="5"/>
      <c r="Q286" s="5" t="str">
        <f>IFERROR(__xludf.DUMMYFUNCTION("""COMPUTED_VALUE"""),"no")</f>
        <v>no</v>
      </c>
      <c r="R286" s="5" t="str">
        <f>IFERROR(__xludf.DUMMYFUNCTION("""COMPUTED_VALUE"""),"CLR")</f>
        <v>CLR</v>
      </c>
      <c r="S286" s="5"/>
      <c r="T286" s="6" t="str">
        <f>IFERROR(__xludf.DUMMYFUNCTION("""COMPUTED_VALUE"""),"Pool")</f>
        <v>Pool</v>
      </c>
      <c r="U286" s="6">
        <f>IFERROR(__xludf.DUMMYFUNCTION("""COMPUTED_VALUE"""),2024.0)</f>
        <v>2024</v>
      </c>
      <c r="V286" s="6" t="str">
        <f>IFERROR(__xludf.DUMMYFUNCTION("""COMPUTED_VALUE"""),"yes")</f>
        <v>yes</v>
      </c>
      <c r="W286" s="6" t="str">
        <f>IFERROR(__xludf.DUMMYFUNCTION("""COMPUTED_VALUE"""),"Igolkina")</f>
        <v>Igolkina</v>
      </c>
      <c r="X286" s="5">
        <f>IFERROR(__xludf.DUMMYFUNCTION("""COMPUTED_VALUE"""),2024.0)</f>
        <v>2024</v>
      </c>
      <c r="Y286" s="5" t="str">
        <f>IFERROR(__xludf.DUMMYFUNCTION("""COMPUTED_VALUE"""),"bioRxiv")</f>
        <v>bioRxiv</v>
      </c>
      <c r="Z286" s="5"/>
      <c r="AA286" s="7" t="str">
        <f>IFERROR(__xludf.DUMMYFUNCTION("""COMPUTED_VALUE"""),"https://www.biorxiv.org/content/10.1101/2024.05.30.596703v1")</f>
        <v>https://www.biorxiv.org/content/10.1101/2024.05.30.596703v1</v>
      </c>
      <c r="AB286" s="5"/>
    </row>
    <row r="287">
      <c r="A287" s="5">
        <f>IFERROR(__xludf.DUMMYFUNCTION("""COMPUTED_VALUE"""),100285.0)</f>
        <v>100285</v>
      </c>
      <c r="B287" s="5" t="str">
        <f>IFERROR(__xludf.DUMMYFUNCTION("""COMPUTED_VALUE"""),"85-3")</f>
        <v>85-3</v>
      </c>
      <c r="C287" s="5">
        <f>IFERROR(__xludf.DUMMYFUNCTION("""COMPUTED_VALUE"""),22001.0)</f>
        <v>22001</v>
      </c>
      <c r="D287" s="5"/>
      <c r="E287" s="5"/>
      <c r="F287" s="5">
        <f>IFERROR(__xludf.DUMMYFUNCTION("""COMPUTED_VALUE"""),1.0)</f>
        <v>1</v>
      </c>
      <c r="G287" s="5"/>
      <c r="H287" s="5"/>
      <c r="I287" s="5"/>
      <c r="J287" s="5"/>
      <c r="K287" s="5"/>
      <c r="L287" s="5"/>
      <c r="M287" s="5"/>
      <c r="N287" s="5">
        <f>IFERROR(__xludf.DUMMYFUNCTION("""COMPUTED_VALUE"""),12.0)</f>
        <v>12</v>
      </c>
      <c r="O287" s="5"/>
      <c r="P287" s="5"/>
      <c r="Q287" s="5" t="str">
        <f>IFERROR(__xludf.DUMMYFUNCTION("""COMPUTED_VALUE"""),"no")</f>
        <v>no</v>
      </c>
      <c r="R287" s="5" t="str">
        <f>IFERROR(__xludf.DUMMYFUNCTION("""COMPUTED_VALUE"""),"CLR")</f>
        <v>CLR</v>
      </c>
      <c r="S287" s="5"/>
      <c r="T287" s="6" t="str">
        <f>IFERROR(__xludf.DUMMYFUNCTION("""COMPUTED_VALUE"""),"Pool")</f>
        <v>Pool</v>
      </c>
      <c r="U287" s="6">
        <f>IFERROR(__xludf.DUMMYFUNCTION("""COMPUTED_VALUE"""),2024.0)</f>
        <v>2024</v>
      </c>
      <c r="V287" s="6" t="str">
        <f>IFERROR(__xludf.DUMMYFUNCTION("""COMPUTED_VALUE"""),"yes")</f>
        <v>yes</v>
      </c>
      <c r="W287" s="6" t="str">
        <f>IFERROR(__xludf.DUMMYFUNCTION("""COMPUTED_VALUE"""),"Igolkina")</f>
        <v>Igolkina</v>
      </c>
      <c r="X287" s="5">
        <f>IFERROR(__xludf.DUMMYFUNCTION("""COMPUTED_VALUE"""),2024.0)</f>
        <v>2024</v>
      </c>
      <c r="Y287" s="5" t="str">
        <f>IFERROR(__xludf.DUMMYFUNCTION("""COMPUTED_VALUE"""),"bioRxiv")</f>
        <v>bioRxiv</v>
      </c>
      <c r="Z287" s="5"/>
      <c r="AA287" s="7" t="str">
        <f>IFERROR(__xludf.DUMMYFUNCTION("""COMPUTED_VALUE"""),"https://www.biorxiv.org/content/10.1101/2024.05.30.596703v1")</f>
        <v>https://www.biorxiv.org/content/10.1101/2024.05.30.596703v1</v>
      </c>
      <c r="AB287" s="5"/>
    </row>
    <row r="288">
      <c r="A288" s="5">
        <f>IFERROR(__xludf.DUMMYFUNCTION("""COMPUTED_VALUE"""),100286.0)</f>
        <v>100286</v>
      </c>
      <c r="B288" s="5" t="str">
        <f>IFERROR(__xludf.DUMMYFUNCTION("""COMPUTED_VALUE"""),"85-3")</f>
        <v>85-3</v>
      </c>
      <c r="C288" s="5">
        <f>IFERROR(__xludf.DUMMYFUNCTION("""COMPUTED_VALUE"""),22001.0)</f>
        <v>22001</v>
      </c>
      <c r="D288" s="5"/>
      <c r="E288" s="5"/>
      <c r="F288" s="5">
        <f>IFERROR(__xludf.DUMMYFUNCTION("""COMPUTED_VALUE"""),2.0)</f>
        <v>2</v>
      </c>
      <c r="G288" s="5"/>
      <c r="H288" s="5"/>
      <c r="I288" s="5"/>
      <c r="J288" s="5"/>
      <c r="K288" s="5"/>
      <c r="L288" s="5"/>
      <c r="M288" s="5"/>
      <c r="N288" s="5">
        <f>IFERROR(__xludf.DUMMYFUNCTION("""COMPUTED_VALUE"""),12.0)</f>
        <v>12</v>
      </c>
      <c r="O288" s="5"/>
      <c r="P288" s="5"/>
      <c r="Q288" s="5" t="str">
        <f>IFERROR(__xludf.DUMMYFUNCTION("""COMPUTED_VALUE"""),"no")</f>
        <v>no</v>
      </c>
      <c r="R288" s="5" t="str">
        <f>IFERROR(__xludf.DUMMYFUNCTION("""COMPUTED_VALUE"""),"CLR")</f>
        <v>CLR</v>
      </c>
      <c r="S288" s="5"/>
      <c r="T288" s="6" t="str">
        <f>IFERROR(__xludf.DUMMYFUNCTION("""COMPUTED_VALUE"""),"Pool")</f>
        <v>Pool</v>
      </c>
      <c r="U288" s="6">
        <f>IFERROR(__xludf.DUMMYFUNCTION("""COMPUTED_VALUE"""),2024.0)</f>
        <v>2024</v>
      </c>
      <c r="V288" s="6" t="str">
        <f>IFERROR(__xludf.DUMMYFUNCTION("""COMPUTED_VALUE"""),"yes")</f>
        <v>yes</v>
      </c>
      <c r="W288" s="6" t="str">
        <f>IFERROR(__xludf.DUMMYFUNCTION("""COMPUTED_VALUE"""),"Igolkina")</f>
        <v>Igolkina</v>
      </c>
      <c r="X288" s="5">
        <f>IFERROR(__xludf.DUMMYFUNCTION("""COMPUTED_VALUE"""),2024.0)</f>
        <v>2024</v>
      </c>
      <c r="Y288" s="5" t="str">
        <f>IFERROR(__xludf.DUMMYFUNCTION("""COMPUTED_VALUE"""),"bioRxiv")</f>
        <v>bioRxiv</v>
      </c>
      <c r="Z288" s="5"/>
      <c r="AA288" s="7" t="str">
        <f>IFERROR(__xludf.DUMMYFUNCTION("""COMPUTED_VALUE"""),"https://www.biorxiv.org/content/10.1101/2024.05.30.596703v1")</f>
        <v>https://www.biorxiv.org/content/10.1101/2024.05.30.596703v1</v>
      </c>
      <c r="AB288" s="5"/>
    </row>
    <row r="289">
      <c r="A289" s="5">
        <f>IFERROR(__xludf.DUMMYFUNCTION("""COMPUTED_VALUE"""),100287.0)</f>
        <v>100287</v>
      </c>
      <c r="B289" s="5" t="str">
        <f>IFERROR(__xludf.DUMMYFUNCTION("""COMPUTED_VALUE"""),"35-1")</f>
        <v>35-1</v>
      </c>
      <c r="C289" s="5">
        <f>IFERROR(__xludf.DUMMYFUNCTION("""COMPUTED_VALUE"""),22002.0)</f>
        <v>22002</v>
      </c>
      <c r="D289" s="5"/>
      <c r="E289" s="5"/>
      <c r="F289" s="5">
        <f>IFERROR(__xludf.DUMMYFUNCTION("""COMPUTED_VALUE"""),1.0)</f>
        <v>1</v>
      </c>
      <c r="G289" s="5"/>
      <c r="H289" s="5"/>
      <c r="I289" s="5"/>
      <c r="J289" s="5"/>
      <c r="K289" s="5"/>
      <c r="L289" s="5"/>
      <c r="M289" s="5"/>
      <c r="N289" s="5">
        <f>IFERROR(__xludf.DUMMYFUNCTION("""COMPUTED_VALUE"""),13.0)</f>
        <v>13</v>
      </c>
      <c r="O289" s="5"/>
      <c r="P289" s="5"/>
      <c r="Q289" s="5" t="str">
        <f>IFERROR(__xludf.DUMMYFUNCTION("""COMPUTED_VALUE"""),"no")</f>
        <v>no</v>
      </c>
      <c r="R289" s="5" t="str">
        <f>IFERROR(__xludf.DUMMYFUNCTION("""COMPUTED_VALUE"""),"CLR")</f>
        <v>CLR</v>
      </c>
      <c r="S289" s="5"/>
      <c r="T289" s="6" t="str">
        <f>IFERROR(__xludf.DUMMYFUNCTION("""COMPUTED_VALUE"""),"Pool")</f>
        <v>Pool</v>
      </c>
      <c r="U289" s="6">
        <f>IFERROR(__xludf.DUMMYFUNCTION("""COMPUTED_VALUE"""),2024.0)</f>
        <v>2024</v>
      </c>
      <c r="V289" s="6" t="str">
        <f>IFERROR(__xludf.DUMMYFUNCTION("""COMPUTED_VALUE"""),"yes")</f>
        <v>yes</v>
      </c>
      <c r="W289" s="6" t="str">
        <f>IFERROR(__xludf.DUMMYFUNCTION("""COMPUTED_VALUE"""),"Igolkina")</f>
        <v>Igolkina</v>
      </c>
      <c r="X289" s="5">
        <f>IFERROR(__xludf.DUMMYFUNCTION("""COMPUTED_VALUE"""),2024.0)</f>
        <v>2024</v>
      </c>
      <c r="Y289" s="5" t="str">
        <f>IFERROR(__xludf.DUMMYFUNCTION("""COMPUTED_VALUE"""),"bioRxiv")</f>
        <v>bioRxiv</v>
      </c>
      <c r="Z289" s="5"/>
      <c r="AA289" s="7" t="str">
        <f>IFERROR(__xludf.DUMMYFUNCTION("""COMPUTED_VALUE"""),"https://www.biorxiv.org/content/10.1101/2024.05.30.596703v1")</f>
        <v>https://www.biorxiv.org/content/10.1101/2024.05.30.596703v1</v>
      </c>
      <c r="AB289" s="5"/>
    </row>
    <row r="290">
      <c r="A290" s="5">
        <f>IFERROR(__xludf.DUMMYFUNCTION("""COMPUTED_VALUE"""),100288.0)</f>
        <v>100288</v>
      </c>
      <c r="B290" s="5" t="str">
        <f>IFERROR(__xludf.DUMMYFUNCTION("""COMPUTED_VALUE"""),"Taz-0")</f>
        <v>Taz-0</v>
      </c>
      <c r="C290" s="5">
        <f>IFERROR(__xludf.DUMMYFUNCTION("""COMPUTED_VALUE"""),22003.0)</f>
        <v>22003</v>
      </c>
      <c r="D290" s="5"/>
      <c r="E290" s="5"/>
      <c r="F290" s="5">
        <f>IFERROR(__xludf.DUMMYFUNCTION("""COMPUTED_VALUE"""),1.0)</f>
        <v>1</v>
      </c>
      <c r="G290" s="5"/>
      <c r="H290" s="5"/>
      <c r="I290" s="5"/>
      <c r="J290" s="5" t="str">
        <f>IFERROR(__xludf.DUMMYFUNCTION("""COMPUTED_VALUE"""),"CS799913")</f>
        <v>CS799913</v>
      </c>
      <c r="K290" s="5"/>
      <c r="L290" s="5"/>
      <c r="M290" s="5"/>
      <c r="N290" s="5">
        <f>IFERROR(__xludf.DUMMYFUNCTION("""COMPUTED_VALUE"""),9.0)</f>
        <v>9</v>
      </c>
      <c r="O290" s="5"/>
      <c r="P290" s="5"/>
      <c r="Q290" s="5" t="str">
        <f>IFERROR(__xludf.DUMMYFUNCTION("""COMPUTED_VALUE"""),"no")</f>
        <v>no</v>
      </c>
      <c r="R290" s="5" t="str">
        <f>IFERROR(__xludf.DUMMYFUNCTION("""COMPUTED_VALUE"""),"CLR")</f>
        <v>CLR</v>
      </c>
      <c r="S290" s="5"/>
      <c r="T290" s="6" t="str">
        <f>IFERROR(__xludf.DUMMYFUNCTION("""COMPUTED_VALUE"""),"Pool")</f>
        <v>Pool</v>
      </c>
      <c r="U290" s="6">
        <f>IFERROR(__xludf.DUMMYFUNCTION("""COMPUTED_VALUE"""),2024.0)</f>
        <v>2024</v>
      </c>
      <c r="V290" s="6" t="str">
        <f>IFERROR(__xludf.DUMMYFUNCTION("""COMPUTED_VALUE"""),"yes")</f>
        <v>yes</v>
      </c>
      <c r="W290" s="6" t="str">
        <f>IFERROR(__xludf.DUMMYFUNCTION("""COMPUTED_VALUE"""),"Igolkina")</f>
        <v>Igolkina</v>
      </c>
      <c r="X290" s="5">
        <f>IFERROR(__xludf.DUMMYFUNCTION("""COMPUTED_VALUE"""),2024.0)</f>
        <v>2024</v>
      </c>
      <c r="Y290" s="5" t="str">
        <f>IFERROR(__xludf.DUMMYFUNCTION("""COMPUTED_VALUE"""),"bioRxiv")</f>
        <v>bioRxiv</v>
      </c>
      <c r="Z290" s="5"/>
      <c r="AA290" s="7" t="str">
        <f>IFERROR(__xludf.DUMMYFUNCTION("""COMPUTED_VALUE"""),"https://www.biorxiv.org/content/10.1101/2024.05.30.596703v1")</f>
        <v>https://www.biorxiv.org/content/10.1101/2024.05.30.596703v1</v>
      </c>
      <c r="AB290" s="5"/>
    </row>
    <row r="291">
      <c r="A291" s="5">
        <f>IFERROR(__xludf.DUMMYFUNCTION("""COMPUTED_VALUE"""),100289.0)</f>
        <v>100289</v>
      </c>
      <c r="B291" s="5" t="str">
        <f>IFERROR(__xludf.DUMMYFUNCTION("""COMPUTED_VALUE"""),"Elh-2")</f>
        <v>Elh-2</v>
      </c>
      <c r="C291" s="5">
        <f>IFERROR(__xludf.DUMMYFUNCTION("""COMPUTED_VALUE"""),22004.0)</f>
        <v>22004</v>
      </c>
      <c r="D291" s="5"/>
      <c r="E291" s="5"/>
      <c r="F291" s="5">
        <f>IFERROR(__xludf.DUMMYFUNCTION("""COMPUTED_VALUE"""),1.0)</f>
        <v>1</v>
      </c>
      <c r="G291" s="5"/>
      <c r="H291" s="5" t="b">
        <f>IFERROR(__xludf.DUMMYFUNCTION("""COMPUTED_VALUE"""),FALSE)</f>
        <v>0</v>
      </c>
      <c r="I291" s="5"/>
      <c r="J291" s="5" t="str">
        <f>IFERROR(__xludf.DUMMYFUNCTION("""COMPUTED_VALUE"""),"CS799925")</f>
        <v>CS799925</v>
      </c>
      <c r="K291" s="5"/>
      <c r="L291" s="5"/>
      <c r="M291" s="5"/>
      <c r="N291" s="5">
        <f>IFERROR(__xludf.DUMMYFUNCTION("""COMPUTED_VALUE"""),9.0)</f>
        <v>9</v>
      </c>
      <c r="O291" s="5"/>
      <c r="P291" s="5"/>
      <c r="Q291" s="5" t="str">
        <f>IFERROR(__xludf.DUMMYFUNCTION("""COMPUTED_VALUE"""),"no")</f>
        <v>no</v>
      </c>
      <c r="R291" s="5" t="str">
        <f>IFERROR(__xludf.DUMMYFUNCTION("""COMPUTED_VALUE"""),"CLR")</f>
        <v>CLR</v>
      </c>
      <c r="S291" s="5"/>
      <c r="T291" s="6" t="str">
        <f>IFERROR(__xludf.DUMMYFUNCTION("""COMPUTED_VALUE"""),"Pool")</f>
        <v>Pool</v>
      </c>
      <c r="U291" s="6">
        <f>IFERROR(__xludf.DUMMYFUNCTION("""COMPUTED_VALUE"""),2024.0)</f>
        <v>2024</v>
      </c>
      <c r="V291" s="6" t="str">
        <f>IFERROR(__xludf.DUMMYFUNCTION("""COMPUTED_VALUE"""),"yes")</f>
        <v>yes</v>
      </c>
      <c r="W291" s="6" t="str">
        <f>IFERROR(__xludf.DUMMYFUNCTION("""COMPUTED_VALUE"""),"Igolkina")</f>
        <v>Igolkina</v>
      </c>
      <c r="X291" s="5">
        <f>IFERROR(__xludf.DUMMYFUNCTION("""COMPUTED_VALUE"""),2024.0)</f>
        <v>2024</v>
      </c>
      <c r="Y291" s="5" t="str">
        <f>IFERROR(__xludf.DUMMYFUNCTION("""COMPUTED_VALUE"""),"bioRxiv")</f>
        <v>bioRxiv</v>
      </c>
      <c r="Z291" s="5"/>
      <c r="AA291" s="7" t="str">
        <f>IFERROR(__xludf.DUMMYFUNCTION("""COMPUTED_VALUE"""),"https://www.biorxiv.org/content/10.1101/2024.05.30.596703v1")</f>
        <v>https://www.biorxiv.org/content/10.1101/2024.05.30.596703v1</v>
      </c>
      <c r="AB291" s="5"/>
    </row>
    <row r="292">
      <c r="A292" s="5">
        <f>IFERROR(__xludf.DUMMYFUNCTION("""COMPUTED_VALUE"""),100290.0)</f>
        <v>100290</v>
      </c>
      <c r="B292" s="5" t="str">
        <f>IFERROR(__xludf.DUMMYFUNCTION("""COMPUTED_VALUE"""),"Rabacal-1")</f>
        <v>Rabacal-1</v>
      </c>
      <c r="C292" s="5">
        <f>IFERROR(__xludf.DUMMYFUNCTION("""COMPUTED_VALUE"""),22005.0)</f>
        <v>22005</v>
      </c>
      <c r="D292" s="5"/>
      <c r="E292" s="5"/>
      <c r="F292" s="5">
        <f>IFERROR(__xludf.DUMMYFUNCTION("""COMPUTED_VALUE"""),1.0)</f>
        <v>1</v>
      </c>
      <c r="G292" s="5"/>
      <c r="H292" s="5" t="b">
        <f>IFERROR(__xludf.DUMMYFUNCTION("""COMPUTED_VALUE"""),FALSE)</f>
        <v>0</v>
      </c>
      <c r="I292" s="5"/>
      <c r="J292" s="5" t="str">
        <f>IFERROR(__xludf.DUMMYFUNCTION("""COMPUTED_VALUE"""),"CS2107642")</f>
        <v>CS2107642</v>
      </c>
      <c r="K292" s="5"/>
      <c r="L292" s="5"/>
      <c r="M292" s="5"/>
      <c r="N292" s="5">
        <f>IFERROR(__xludf.DUMMYFUNCTION("""COMPUTED_VALUE"""),10.0)</f>
        <v>10</v>
      </c>
      <c r="O292" s="5"/>
      <c r="P292" s="5"/>
      <c r="Q292" s="5" t="str">
        <f>IFERROR(__xludf.DUMMYFUNCTION("""COMPUTED_VALUE"""),"no")</f>
        <v>no</v>
      </c>
      <c r="R292" s="5" t="str">
        <f>IFERROR(__xludf.DUMMYFUNCTION("""COMPUTED_VALUE"""),"CLR")</f>
        <v>CLR</v>
      </c>
      <c r="S292" s="5"/>
      <c r="T292" s="6" t="str">
        <f>IFERROR(__xludf.DUMMYFUNCTION("""COMPUTED_VALUE"""),"Pool")</f>
        <v>Pool</v>
      </c>
      <c r="U292" s="6">
        <f>IFERROR(__xludf.DUMMYFUNCTION("""COMPUTED_VALUE"""),2024.0)</f>
        <v>2024</v>
      </c>
      <c r="V292" s="6" t="str">
        <f>IFERROR(__xludf.DUMMYFUNCTION("""COMPUTED_VALUE"""),"yes")</f>
        <v>yes</v>
      </c>
      <c r="W292" s="6" t="str">
        <f>IFERROR(__xludf.DUMMYFUNCTION("""COMPUTED_VALUE"""),"Igolkina")</f>
        <v>Igolkina</v>
      </c>
      <c r="X292" s="5">
        <f>IFERROR(__xludf.DUMMYFUNCTION("""COMPUTED_VALUE"""),2024.0)</f>
        <v>2024</v>
      </c>
      <c r="Y292" s="5" t="str">
        <f>IFERROR(__xludf.DUMMYFUNCTION("""COMPUTED_VALUE"""),"bioRxiv")</f>
        <v>bioRxiv</v>
      </c>
      <c r="Z292" s="5"/>
      <c r="AA292" s="7" t="str">
        <f>IFERROR(__xludf.DUMMYFUNCTION("""COMPUTED_VALUE"""),"https://www.biorxiv.org/content/10.1101/2024.05.30.596703v1")</f>
        <v>https://www.biorxiv.org/content/10.1101/2024.05.30.596703v1</v>
      </c>
      <c r="AB292" s="5"/>
    </row>
    <row r="293">
      <c r="A293" s="5">
        <f>IFERROR(__xludf.DUMMYFUNCTION("""COMPUTED_VALUE"""),100291.0)</f>
        <v>100291</v>
      </c>
      <c r="B293" s="5" t="str">
        <f>IFERROR(__xludf.DUMMYFUNCTION("""COMPUTED_VALUE"""),"Areeiro-1")</f>
        <v>Areeiro-1</v>
      </c>
      <c r="C293" s="5">
        <f>IFERROR(__xludf.DUMMYFUNCTION("""COMPUTED_VALUE"""),22006.0)</f>
        <v>22006</v>
      </c>
      <c r="D293" s="5"/>
      <c r="E293" s="5"/>
      <c r="F293" s="5">
        <f>IFERROR(__xludf.DUMMYFUNCTION("""COMPUTED_VALUE"""),1.0)</f>
        <v>1</v>
      </c>
      <c r="G293" s="5"/>
      <c r="H293" s="5"/>
      <c r="I293" s="5"/>
      <c r="J293" s="5" t="str">
        <f>IFERROR(__xludf.DUMMYFUNCTION("""COMPUTED_VALUE"""),"635AV")</f>
        <v>635AV</v>
      </c>
      <c r="K293" s="5"/>
      <c r="L293" s="5"/>
      <c r="M293" s="5"/>
      <c r="N293" s="5">
        <f>IFERROR(__xludf.DUMMYFUNCTION("""COMPUTED_VALUE"""),13.0)</f>
        <v>13</v>
      </c>
      <c r="O293" s="5"/>
      <c r="P293" s="5"/>
      <c r="Q293" s="5" t="str">
        <f>IFERROR(__xludf.DUMMYFUNCTION("""COMPUTED_VALUE"""),"no")</f>
        <v>no</v>
      </c>
      <c r="R293" s="5" t="str">
        <f>IFERROR(__xludf.DUMMYFUNCTION("""COMPUTED_VALUE"""),"CLR")</f>
        <v>CLR</v>
      </c>
      <c r="S293" s="5"/>
      <c r="T293" s="6" t="str">
        <f>IFERROR(__xludf.DUMMYFUNCTION("""COMPUTED_VALUE"""),"Pool")</f>
        <v>Pool</v>
      </c>
      <c r="U293" s="6">
        <f>IFERROR(__xludf.DUMMYFUNCTION("""COMPUTED_VALUE"""),2024.0)</f>
        <v>2024</v>
      </c>
      <c r="V293" s="6" t="str">
        <f>IFERROR(__xludf.DUMMYFUNCTION("""COMPUTED_VALUE"""),"yes")</f>
        <v>yes</v>
      </c>
      <c r="W293" s="6" t="str">
        <f>IFERROR(__xludf.DUMMYFUNCTION("""COMPUTED_VALUE"""),"Igolkina")</f>
        <v>Igolkina</v>
      </c>
      <c r="X293" s="5">
        <f>IFERROR(__xludf.DUMMYFUNCTION("""COMPUTED_VALUE"""),2024.0)</f>
        <v>2024</v>
      </c>
      <c r="Y293" s="5" t="str">
        <f>IFERROR(__xludf.DUMMYFUNCTION("""COMPUTED_VALUE"""),"bioRxiv")</f>
        <v>bioRxiv</v>
      </c>
      <c r="Z293" s="5"/>
      <c r="AA293" s="7" t="str">
        <f>IFERROR(__xludf.DUMMYFUNCTION("""COMPUTED_VALUE"""),"https://www.biorxiv.org/content/10.1101/2024.05.30.596703v1")</f>
        <v>https://www.biorxiv.org/content/10.1101/2024.05.30.596703v1</v>
      </c>
      <c r="AB293" s="5"/>
    </row>
    <row r="294">
      <c r="A294" s="5">
        <f>IFERROR(__xludf.DUMMYFUNCTION("""COMPUTED_VALUE"""),100292.0)</f>
        <v>100292</v>
      </c>
      <c r="B294" s="5" t="str">
        <f>IFERROR(__xludf.DUMMYFUNCTION("""COMPUTED_VALUE"""),"ET-86.4")</f>
        <v>ET-86.4</v>
      </c>
      <c r="C294" s="5">
        <f>IFERROR(__xludf.DUMMYFUNCTION("""COMPUTED_VALUE"""),22007.0)</f>
        <v>22007</v>
      </c>
      <c r="D294" s="5"/>
      <c r="E294" s="5"/>
      <c r="F294" s="5">
        <f>IFERROR(__xludf.DUMMYFUNCTION("""COMPUTED_VALUE"""),1.0)</f>
        <v>1</v>
      </c>
      <c r="G294" s="5"/>
      <c r="H294" s="5"/>
      <c r="I294" s="5"/>
      <c r="J294" s="5"/>
      <c r="K294" s="5"/>
      <c r="L294" s="5"/>
      <c r="M294" s="5"/>
      <c r="N294" s="5">
        <f>IFERROR(__xludf.DUMMYFUNCTION("""COMPUTED_VALUE"""),11.0)</f>
        <v>11</v>
      </c>
      <c r="O294" s="5"/>
      <c r="P294" s="5"/>
      <c r="Q294" s="5" t="str">
        <f>IFERROR(__xludf.DUMMYFUNCTION("""COMPUTED_VALUE"""),"no")</f>
        <v>no</v>
      </c>
      <c r="R294" s="5" t="str">
        <f>IFERROR(__xludf.DUMMYFUNCTION("""COMPUTED_VALUE"""),"CLR")</f>
        <v>CLR</v>
      </c>
      <c r="S294" s="5"/>
      <c r="T294" s="6" t="str">
        <f>IFERROR(__xludf.DUMMYFUNCTION("""COMPUTED_VALUE"""),"Pool")</f>
        <v>Pool</v>
      </c>
      <c r="U294" s="6">
        <f>IFERROR(__xludf.DUMMYFUNCTION("""COMPUTED_VALUE"""),2024.0)</f>
        <v>2024</v>
      </c>
      <c r="V294" s="6" t="str">
        <f>IFERROR(__xludf.DUMMYFUNCTION("""COMPUTED_VALUE"""),"yes")</f>
        <v>yes</v>
      </c>
      <c r="W294" s="6" t="str">
        <f>IFERROR(__xludf.DUMMYFUNCTION("""COMPUTED_VALUE"""),"Igolkina")</f>
        <v>Igolkina</v>
      </c>
      <c r="X294" s="5">
        <f>IFERROR(__xludf.DUMMYFUNCTION("""COMPUTED_VALUE"""),2024.0)</f>
        <v>2024</v>
      </c>
      <c r="Y294" s="5" t="str">
        <f>IFERROR(__xludf.DUMMYFUNCTION("""COMPUTED_VALUE"""),"bioRxiv")</f>
        <v>bioRxiv</v>
      </c>
      <c r="Z294" s="5"/>
      <c r="AA294" s="7" t="str">
        <f>IFERROR(__xludf.DUMMYFUNCTION("""COMPUTED_VALUE"""),"https://www.biorxiv.org/content/10.1101/2024.05.30.596703v1")</f>
        <v>https://www.biorxiv.org/content/10.1101/2024.05.30.596703v1</v>
      </c>
      <c r="AB294" s="5"/>
    </row>
    <row r="295">
      <c r="A295" s="5">
        <f>IFERROR(__xludf.DUMMYFUNCTION("""COMPUTED_VALUE"""),100293.0)</f>
        <v>100293</v>
      </c>
      <c r="B295" s="5" t="str">
        <f>IFERROR(__xludf.DUMMYFUNCTION("""COMPUTED_VALUE"""),"Pent-46")</f>
        <v>Pent-46</v>
      </c>
      <c r="C295" s="5">
        <f>IFERROR(__xludf.DUMMYFUNCTION("""COMPUTED_VALUE"""),2212.0)</f>
        <v>2212</v>
      </c>
      <c r="D295" s="5"/>
      <c r="E295" s="5"/>
      <c r="F295" s="5">
        <f>IFERROR(__xludf.DUMMYFUNCTION("""COMPUTED_VALUE"""),1.0)</f>
        <v>1</v>
      </c>
      <c r="G295" s="5"/>
      <c r="H295" s="5"/>
      <c r="I295" s="5"/>
      <c r="J295" s="5"/>
      <c r="K295" s="5"/>
      <c r="L295" s="5"/>
      <c r="M295" s="5"/>
      <c r="N295" s="5">
        <f>IFERROR(__xludf.DUMMYFUNCTION("""COMPUTED_VALUE"""),7.0)</f>
        <v>7</v>
      </c>
      <c r="O295" s="5"/>
      <c r="P295" s="5"/>
      <c r="Q295" s="5" t="str">
        <f>IFERROR(__xludf.DUMMYFUNCTION("""COMPUTED_VALUE"""),"yes")</f>
        <v>yes</v>
      </c>
      <c r="R295" s="5" t="str">
        <f>IFERROR(__xludf.DUMMYFUNCTION("""COMPUTED_VALUE"""),"HiFi")</f>
        <v>HiFi</v>
      </c>
      <c r="S295" s="5" t="str">
        <f>IFERROR(__xludf.DUMMYFUNCTION("""COMPUTED_VALUE"""),"hifiasm_v0.16.1-r375")</f>
        <v>hifiasm_v0.16.1-r375</v>
      </c>
      <c r="T295" s="6" t="str">
        <f>IFERROR(__xludf.DUMMYFUNCTION("""COMPUTED_VALUE"""),"Individual")</f>
        <v>Individual</v>
      </c>
      <c r="U295" s="6">
        <f>IFERROR(__xludf.DUMMYFUNCTION("""COMPUTED_VALUE"""),2024.0)</f>
        <v>2024</v>
      </c>
      <c r="V295" s="6" t="str">
        <f>IFERROR(__xludf.DUMMYFUNCTION("""COMPUTED_VALUE"""),"yes")</f>
        <v>yes</v>
      </c>
      <c r="W295" s="6" t="str">
        <f>IFERROR(__xludf.DUMMYFUNCTION("""COMPUTED_VALUE"""),"Tao")</f>
        <v>Tao</v>
      </c>
      <c r="X295" s="5">
        <f>IFERROR(__xludf.DUMMYFUNCTION("""COMPUTED_VALUE"""),2024.0)</f>
        <v>2024</v>
      </c>
      <c r="Y295" s="5" t="str">
        <f>IFERROR(__xludf.DUMMYFUNCTION("""COMPUTED_VALUE"""),"GenomeBiol")</f>
        <v>GenomeBiol</v>
      </c>
      <c r="Z295" s="7" t="str">
        <f>IFERROR(__xludf.DUMMYFUNCTION("""COMPUTED_VALUE"""),"10.1186/s13059-024-03388-3")</f>
        <v>10.1186/s13059-024-03388-3</v>
      </c>
      <c r="AA295" s="7" t="str">
        <f>IFERROR(__xludf.DUMMYFUNCTION("""COMPUTED_VALUE"""),"https://genomebiology.biomedcentral.com/articles/10.1186/s13059-024-03388-3")</f>
        <v>https://genomebiology.biomedcentral.com/articles/10.1186/s13059-024-03388-3</v>
      </c>
      <c r="AB295" s="5"/>
    </row>
    <row r="296">
      <c r="A296" s="5">
        <f>IFERROR(__xludf.DUMMYFUNCTION("""COMPUTED_VALUE"""),100294.0)</f>
        <v>100294</v>
      </c>
      <c r="B296" s="5" t="str">
        <f>IFERROR(__xludf.DUMMYFUNCTION("""COMPUTED_VALUE"""),"LI-EF-011")</f>
        <v>LI-EF-011</v>
      </c>
      <c r="C296" s="5">
        <f>IFERROR(__xludf.DUMMYFUNCTION("""COMPUTED_VALUE"""),685.0)</f>
        <v>685</v>
      </c>
      <c r="D296" s="5"/>
      <c r="E296" s="5">
        <f>IFERROR(__xludf.DUMMYFUNCTION("""COMPUTED_VALUE"""),100294.0)</f>
        <v>100294</v>
      </c>
      <c r="F296" s="5">
        <f>IFERROR(__xludf.DUMMYFUNCTION("""COMPUTED_VALUE"""),1.0)</f>
        <v>1</v>
      </c>
      <c r="G296" s="5"/>
      <c r="H296" s="5"/>
      <c r="I296" s="5"/>
      <c r="J296" s="5"/>
      <c r="K296" s="5"/>
      <c r="L296" s="5"/>
      <c r="M296" s="5"/>
      <c r="N296" s="5">
        <f>IFERROR(__xludf.DUMMYFUNCTION("""COMPUTED_VALUE"""),4.0)</f>
        <v>4</v>
      </c>
      <c r="O296" s="5"/>
      <c r="P296" s="5"/>
      <c r="Q296" s="5" t="str">
        <f>IFERROR(__xludf.DUMMYFUNCTION("""COMPUTED_VALUE"""),"yes")</f>
        <v>yes</v>
      </c>
      <c r="R296" s="5" t="str">
        <f>IFERROR(__xludf.DUMMYFUNCTION("""COMPUTED_VALUE"""),"HiFi")</f>
        <v>HiFi</v>
      </c>
      <c r="S296" s="5" t="str">
        <f>IFERROR(__xludf.DUMMYFUNCTION("""COMPUTED_VALUE"""),"hifiasm_v0.16.1-r375")</f>
        <v>hifiasm_v0.16.1-r375</v>
      </c>
      <c r="T296" s="6" t="str">
        <f>IFERROR(__xludf.DUMMYFUNCTION("""COMPUTED_VALUE"""),"Individual")</f>
        <v>Individual</v>
      </c>
      <c r="U296" s="6">
        <f>IFERROR(__xludf.DUMMYFUNCTION("""COMPUTED_VALUE"""),2024.0)</f>
        <v>2024</v>
      </c>
      <c r="V296" s="6" t="str">
        <f>IFERROR(__xludf.DUMMYFUNCTION("""COMPUTED_VALUE"""),"yes")</f>
        <v>yes</v>
      </c>
      <c r="W296" s="6" t="str">
        <f>IFERROR(__xludf.DUMMYFUNCTION("""COMPUTED_VALUE"""),"Tao")</f>
        <v>Tao</v>
      </c>
      <c r="X296" s="5">
        <f>IFERROR(__xludf.DUMMYFUNCTION("""COMPUTED_VALUE"""),2024.0)</f>
        <v>2024</v>
      </c>
      <c r="Y296" s="5" t="str">
        <f>IFERROR(__xludf.DUMMYFUNCTION("""COMPUTED_VALUE"""),"GenomeBiol")</f>
        <v>GenomeBiol</v>
      </c>
      <c r="Z296" s="7" t="str">
        <f>IFERROR(__xludf.DUMMYFUNCTION("""COMPUTED_VALUE"""),"10.1186/s13059-024-03388-3")</f>
        <v>10.1186/s13059-024-03388-3</v>
      </c>
      <c r="AA296" s="7" t="str">
        <f>IFERROR(__xludf.DUMMYFUNCTION("""COMPUTED_VALUE"""),"https://genomebiology.biomedcentral.com/articles/10.1186/s13059-024-03388-3")</f>
        <v>https://genomebiology.biomedcentral.com/articles/10.1186/s13059-024-03388-3</v>
      </c>
      <c r="AB296" s="5"/>
    </row>
    <row r="297">
      <c r="A297" s="5">
        <f>IFERROR(__xludf.DUMMYFUNCTION("""COMPUTED_VALUE"""),100295.0)</f>
        <v>100295</v>
      </c>
      <c r="B297" s="5" t="str">
        <f>IFERROR(__xludf.DUMMYFUNCTION("""COMPUTED_VALUE"""),"14INRCT07")</f>
        <v>14INRCT07</v>
      </c>
      <c r="C297" s="5">
        <f>IFERROR(__xludf.DUMMYFUNCTION("""COMPUTED_VALUE"""),22117.0)</f>
        <v>22117</v>
      </c>
      <c r="D297" s="5"/>
      <c r="E297" s="5"/>
      <c r="F297" s="5">
        <f>IFERROR(__xludf.DUMMYFUNCTION("""COMPUTED_VALUE"""),1.0)</f>
        <v>1</v>
      </c>
      <c r="G297" s="5"/>
      <c r="H297" s="5"/>
      <c r="I297" s="5"/>
      <c r="J297" s="5"/>
      <c r="K297" s="5"/>
      <c r="L297" s="5"/>
      <c r="M297" s="5"/>
      <c r="N297" s="5">
        <f>IFERROR(__xludf.DUMMYFUNCTION("""COMPUTED_VALUE"""),5.0)</f>
        <v>5</v>
      </c>
      <c r="O297" s="5"/>
      <c r="P297" s="5"/>
      <c r="Q297" s="5" t="str">
        <f>IFERROR(__xludf.DUMMYFUNCTION("""COMPUTED_VALUE"""),"yes")</f>
        <v>yes</v>
      </c>
      <c r="R297" s="5" t="str">
        <f>IFERROR(__xludf.DUMMYFUNCTION("""COMPUTED_VALUE"""),"HiFi")</f>
        <v>HiFi</v>
      </c>
      <c r="S297" s="5" t="str">
        <f>IFERROR(__xludf.DUMMYFUNCTION("""COMPUTED_VALUE"""),"hifiasm_v0.16.1-r375")</f>
        <v>hifiasm_v0.16.1-r375</v>
      </c>
      <c r="T297" s="6" t="str">
        <f>IFERROR(__xludf.DUMMYFUNCTION("""COMPUTED_VALUE"""),"Individual")</f>
        <v>Individual</v>
      </c>
      <c r="U297" s="6">
        <f>IFERROR(__xludf.DUMMYFUNCTION("""COMPUTED_VALUE"""),2024.0)</f>
        <v>2024</v>
      </c>
      <c r="V297" s="6" t="str">
        <f>IFERROR(__xludf.DUMMYFUNCTION("""COMPUTED_VALUE"""),"yes")</f>
        <v>yes</v>
      </c>
      <c r="W297" s="6" t="str">
        <f>IFERROR(__xludf.DUMMYFUNCTION("""COMPUTED_VALUE"""),"Tao")</f>
        <v>Tao</v>
      </c>
      <c r="X297" s="5">
        <f>IFERROR(__xludf.DUMMYFUNCTION("""COMPUTED_VALUE"""),2024.0)</f>
        <v>2024</v>
      </c>
      <c r="Y297" s="5" t="str">
        <f>IFERROR(__xludf.DUMMYFUNCTION("""COMPUTED_VALUE"""),"GenomeBiol")</f>
        <v>GenomeBiol</v>
      </c>
      <c r="Z297" s="7" t="str">
        <f>IFERROR(__xludf.DUMMYFUNCTION("""COMPUTED_VALUE"""),"10.1186/s13059-024-03388-3")</f>
        <v>10.1186/s13059-024-03388-3</v>
      </c>
      <c r="AA297" s="7" t="str">
        <f>IFERROR(__xludf.DUMMYFUNCTION("""COMPUTED_VALUE"""),"https://genomebiology.biomedcentral.com/articles/10.1186/s13059-024-03388-3")</f>
        <v>https://genomebiology.biomedcentral.com/articles/10.1186/s13059-024-03388-3</v>
      </c>
      <c r="AB297" s="5"/>
    </row>
    <row r="298">
      <c r="A298" s="5">
        <f>IFERROR(__xludf.DUMMYFUNCTION("""COMPUTED_VALUE"""),100296.0)</f>
        <v>100296</v>
      </c>
      <c r="B298" s="5" t="str">
        <f>IFERROR(__xludf.DUMMYFUNCTION("""COMPUTED_VALUE"""),"LI-EF-018")</f>
        <v>LI-EF-018</v>
      </c>
      <c r="C298" s="5">
        <f>IFERROR(__xludf.DUMMYFUNCTION("""COMPUTED_VALUE"""),687.0)</f>
        <v>687</v>
      </c>
      <c r="D298" s="5"/>
      <c r="E298" s="5"/>
      <c r="F298" s="5">
        <f>IFERROR(__xludf.DUMMYFUNCTION("""COMPUTED_VALUE"""),1.0)</f>
        <v>1</v>
      </c>
      <c r="G298" s="5"/>
      <c r="H298" s="5"/>
      <c r="I298" s="5"/>
      <c r="J298" s="5"/>
      <c r="K298" s="5"/>
      <c r="L298" s="5"/>
      <c r="M298" s="5"/>
      <c r="N298" s="5">
        <f>IFERROR(__xludf.DUMMYFUNCTION("""COMPUTED_VALUE"""),13.0)</f>
        <v>13</v>
      </c>
      <c r="O298" s="5"/>
      <c r="P298" s="5"/>
      <c r="Q298" s="5" t="str">
        <f>IFERROR(__xludf.DUMMYFUNCTION("""COMPUTED_VALUE"""),"yes")</f>
        <v>yes</v>
      </c>
      <c r="R298" s="5" t="str">
        <f>IFERROR(__xludf.DUMMYFUNCTION("""COMPUTED_VALUE"""),"HiFi")</f>
        <v>HiFi</v>
      </c>
      <c r="S298" s="5" t="str">
        <f>IFERROR(__xludf.DUMMYFUNCTION("""COMPUTED_VALUE"""),"hifiasm_v0.16.1-r375")</f>
        <v>hifiasm_v0.16.1-r375</v>
      </c>
      <c r="T298" s="6" t="str">
        <f>IFERROR(__xludf.DUMMYFUNCTION("""COMPUTED_VALUE"""),"Individual")</f>
        <v>Individual</v>
      </c>
      <c r="U298" s="6">
        <f>IFERROR(__xludf.DUMMYFUNCTION("""COMPUTED_VALUE"""),2024.0)</f>
        <v>2024</v>
      </c>
      <c r="V298" s="6" t="str">
        <f>IFERROR(__xludf.DUMMYFUNCTION("""COMPUTED_VALUE"""),"no")</f>
        <v>no</v>
      </c>
      <c r="W298" s="6" t="str">
        <f>IFERROR(__xludf.DUMMYFUNCTION("""COMPUTED_VALUE"""),"Tao")</f>
        <v>Tao</v>
      </c>
      <c r="X298" s="5"/>
      <c r="Y298" s="5" t="str">
        <f>IFERROR(__xludf.DUMMYFUNCTION("""COMPUTED_VALUE"""),"unpublished")</f>
        <v>unpublished</v>
      </c>
      <c r="Z298" s="5"/>
      <c r="AA298" s="5"/>
      <c r="AB298" s="5"/>
    </row>
    <row r="299">
      <c r="A299" s="5">
        <f>IFERROR(__xludf.DUMMYFUNCTION("""COMPUTED_VALUE"""),100297.0)</f>
        <v>100297</v>
      </c>
      <c r="B299" s="5" t="str">
        <f>IFERROR(__xludf.DUMMYFUNCTION("""COMPUTED_VALUE"""),"KEN")</f>
        <v>KEN</v>
      </c>
      <c r="C299" s="5">
        <f>IFERROR(__xludf.DUMMYFUNCTION("""COMPUTED_VALUE"""),7475.0)</f>
        <v>7475</v>
      </c>
      <c r="D299" s="5"/>
      <c r="E299" s="5"/>
      <c r="F299" s="5">
        <f>IFERROR(__xludf.DUMMYFUNCTION("""COMPUTED_VALUE"""),1.0)</f>
        <v>1</v>
      </c>
      <c r="G299" s="5"/>
      <c r="H299" s="5"/>
      <c r="I299" s="5"/>
      <c r="J299" s="5"/>
      <c r="K299" s="5"/>
      <c r="L299" s="5"/>
      <c r="M299" s="5"/>
      <c r="N299" s="5">
        <f>IFERROR(__xludf.DUMMYFUNCTION("""COMPUTED_VALUE"""),8.0)</f>
        <v>8</v>
      </c>
      <c r="O299" s="5"/>
      <c r="P299" s="5"/>
      <c r="Q299" s="5" t="str">
        <f>IFERROR(__xludf.DUMMYFUNCTION("""COMPUTED_VALUE"""),"yes")</f>
        <v>yes</v>
      </c>
      <c r="R299" s="5" t="str">
        <f>IFERROR(__xludf.DUMMYFUNCTION("""COMPUTED_VALUE"""),"HiFi")</f>
        <v>HiFi</v>
      </c>
      <c r="S299" s="5" t="str">
        <f>IFERROR(__xludf.DUMMYFUNCTION("""COMPUTED_VALUE"""),"hifiasm_v0.16.1-r375")</f>
        <v>hifiasm_v0.16.1-r375</v>
      </c>
      <c r="T299" s="6" t="str">
        <f>IFERROR(__xludf.DUMMYFUNCTION("""COMPUTED_VALUE"""),"Individual")</f>
        <v>Individual</v>
      </c>
      <c r="U299" s="6">
        <f>IFERROR(__xludf.DUMMYFUNCTION("""COMPUTED_VALUE"""),2024.0)</f>
        <v>2024</v>
      </c>
      <c r="V299" s="6" t="str">
        <f>IFERROR(__xludf.DUMMYFUNCTION("""COMPUTED_VALUE"""),"no")</f>
        <v>no</v>
      </c>
      <c r="W299" s="6" t="str">
        <f>IFERROR(__xludf.DUMMYFUNCTION("""COMPUTED_VALUE"""),"Tao")</f>
        <v>Tao</v>
      </c>
      <c r="X299" s="5"/>
      <c r="Y299" s="5" t="str">
        <f>IFERROR(__xludf.DUMMYFUNCTION("""COMPUTED_VALUE"""),"unpublished")</f>
        <v>unpublished</v>
      </c>
      <c r="Z299" s="5"/>
      <c r="AA299" s="5"/>
      <c r="AB299" s="5"/>
    </row>
    <row r="300">
      <c r="A300" s="5">
        <f>IFERROR(__xludf.DUMMYFUNCTION("""COMPUTED_VALUE"""),100298.0)</f>
        <v>100298</v>
      </c>
      <c r="B300" s="5" t="str">
        <f>IFERROR(__xludf.DUMMYFUNCTION("""COMPUTED_VALUE"""),"15INRCT09")</f>
        <v>15INRCT09</v>
      </c>
      <c r="C300" s="5">
        <f>IFERROR(__xludf.DUMMYFUNCTION("""COMPUTED_VALUE"""),22118.0)</f>
        <v>22118</v>
      </c>
      <c r="D300" s="5"/>
      <c r="E300" s="5"/>
      <c r="F300" s="5">
        <f>IFERROR(__xludf.DUMMYFUNCTION("""COMPUTED_VALUE"""),1.0)</f>
        <v>1</v>
      </c>
      <c r="G300" s="5"/>
      <c r="H300" s="5"/>
      <c r="I300" s="5"/>
      <c r="J300" s="5"/>
      <c r="K300" s="5"/>
      <c r="L300" s="5"/>
      <c r="M300" s="5"/>
      <c r="N300" s="5">
        <f>IFERROR(__xludf.DUMMYFUNCTION("""COMPUTED_VALUE"""),7.0)</f>
        <v>7</v>
      </c>
      <c r="O300" s="5"/>
      <c r="P300" s="5"/>
      <c r="Q300" s="5" t="str">
        <f>IFERROR(__xludf.DUMMYFUNCTION("""COMPUTED_VALUE"""),"yes")</f>
        <v>yes</v>
      </c>
      <c r="R300" s="5" t="str">
        <f>IFERROR(__xludf.DUMMYFUNCTION("""COMPUTED_VALUE"""),"HiFi")</f>
        <v>HiFi</v>
      </c>
      <c r="S300" s="5" t="str">
        <f>IFERROR(__xludf.DUMMYFUNCTION("""COMPUTED_VALUE"""),"hifiasm_v0.16.1-r375")</f>
        <v>hifiasm_v0.16.1-r375</v>
      </c>
      <c r="T300" s="6" t="str">
        <f>IFERROR(__xludf.DUMMYFUNCTION("""COMPUTED_VALUE"""),"Individual")</f>
        <v>Individual</v>
      </c>
      <c r="U300" s="6">
        <f>IFERROR(__xludf.DUMMYFUNCTION("""COMPUTED_VALUE"""),2024.0)</f>
        <v>2024</v>
      </c>
      <c r="V300" s="6" t="str">
        <f>IFERROR(__xludf.DUMMYFUNCTION("""COMPUTED_VALUE"""),"no")</f>
        <v>no</v>
      </c>
      <c r="W300" s="6" t="str">
        <f>IFERROR(__xludf.DUMMYFUNCTION("""COMPUTED_VALUE"""),"Tao")</f>
        <v>Tao</v>
      </c>
      <c r="X300" s="5"/>
      <c r="Y300" s="5" t="str">
        <f>IFERROR(__xludf.DUMMYFUNCTION("""COMPUTED_VALUE"""),"unpublished")</f>
        <v>unpublished</v>
      </c>
      <c r="Z300" s="5"/>
      <c r="AA300" s="5"/>
      <c r="AB300" s="5"/>
    </row>
    <row r="301">
      <c r="A301" s="5">
        <f>IFERROR(__xludf.DUMMYFUNCTION("""COMPUTED_VALUE"""),100299.0)</f>
        <v>100299</v>
      </c>
      <c r="B301" s="5" t="str">
        <f>IFERROR(__xludf.DUMMYFUNCTION("""COMPUTED_VALUE"""),"MAR2-3")</f>
        <v>MAR2-3</v>
      </c>
      <c r="C301" s="5">
        <f>IFERROR(__xludf.DUMMYFUNCTION("""COMPUTED_VALUE"""),159.0)</f>
        <v>159</v>
      </c>
      <c r="D301" s="5"/>
      <c r="E301" s="5">
        <f>IFERROR(__xludf.DUMMYFUNCTION("""COMPUTED_VALUE"""),100299.0)</f>
        <v>100299</v>
      </c>
      <c r="F301" s="5">
        <f>IFERROR(__xludf.DUMMYFUNCTION("""COMPUTED_VALUE"""),1.0)</f>
        <v>1</v>
      </c>
      <c r="G301" s="5"/>
      <c r="H301" s="5" t="b">
        <f>IFERROR(__xludf.DUMMYFUNCTION("""COMPUTED_VALUE"""),FALSE)</f>
        <v>0</v>
      </c>
      <c r="I301" s="5"/>
      <c r="J301" s="5"/>
      <c r="K301" s="5"/>
      <c r="L301" s="5"/>
      <c r="M301" s="5"/>
      <c r="N301" s="5">
        <f>IFERROR(__xludf.DUMMYFUNCTION("""COMPUTED_VALUE"""),14.0)</f>
        <v>14</v>
      </c>
      <c r="O301" s="5"/>
      <c r="P301" s="5"/>
      <c r="Q301" s="5" t="str">
        <f>IFERROR(__xludf.DUMMYFUNCTION("""COMPUTED_VALUE"""),"no")</f>
        <v>no</v>
      </c>
      <c r="R301" s="5" t="str">
        <f>IFERROR(__xludf.DUMMYFUNCTION("""COMPUTED_VALUE"""),"HiFi")</f>
        <v>HiFi</v>
      </c>
      <c r="S301" s="5" t="str">
        <f>IFERROR(__xludf.DUMMYFUNCTION("""COMPUTED_VALUE"""),"hifiasm_v0.15.5-r350")</f>
        <v>hifiasm_v0.15.5-r350</v>
      </c>
      <c r="T301" s="6" t="str">
        <f>IFERROR(__xludf.DUMMYFUNCTION("""COMPUTED_VALUE"""),"Pool???")</f>
        <v>Pool???</v>
      </c>
      <c r="U301" s="6">
        <f>IFERROR(__xludf.DUMMYFUNCTION("""COMPUTED_VALUE"""),2024.0)</f>
        <v>2024</v>
      </c>
      <c r="V301" s="6" t="str">
        <f>IFERROR(__xludf.DUMMYFUNCTION("""COMPUTED_VALUE"""),"no")</f>
        <v>no</v>
      </c>
      <c r="W301" s="6" t="str">
        <f>IFERROR(__xludf.DUMMYFUNCTION("""COMPUTED_VALUE"""),"Movilli")</f>
        <v>Movilli</v>
      </c>
      <c r="X301" s="5"/>
      <c r="Y301" s="5" t="str">
        <f>IFERROR(__xludf.DUMMYFUNCTION("""COMPUTED_VALUE"""),"unpublished")</f>
        <v>unpublished</v>
      </c>
      <c r="Z301" s="5"/>
      <c r="AA301" s="5"/>
      <c r="AB301" s="5"/>
    </row>
    <row r="302">
      <c r="A302" s="5">
        <f>IFERROR(__xludf.DUMMYFUNCTION("""COMPUTED_VALUE"""),100300.0)</f>
        <v>100300</v>
      </c>
      <c r="B302" s="5" t="str">
        <f>IFERROR(__xludf.DUMMYFUNCTION("""COMPUTED_VALUE"""),"Ei-2")</f>
        <v>Ei-2</v>
      </c>
      <c r="C302" s="5">
        <f>IFERROR(__xludf.DUMMYFUNCTION("""COMPUTED_VALUE"""),6915.0)</f>
        <v>6915</v>
      </c>
      <c r="D302" s="5"/>
      <c r="E302" s="5"/>
      <c r="F302" s="5">
        <f>IFERROR(__xludf.DUMMYFUNCTION("""COMPUTED_VALUE"""),1.0)</f>
        <v>1</v>
      </c>
      <c r="G302" s="5"/>
      <c r="H302" s="5"/>
      <c r="I302" s="5"/>
      <c r="J302" s="5"/>
      <c r="K302" s="5"/>
      <c r="L302" s="5"/>
      <c r="M302" s="5"/>
      <c r="N302" s="5">
        <f>IFERROR(__xludf.DUMMYFUNCTION("""COMPUTED_VALUE"""),15.0)</f>
        <v>15</v>
      </c>
      <c r="O302" s="5"/>
      <c r="P302" s="5"/>
      <c r="Q302" s="5" t="str">
        <f>IFERROR(__xludf.DUMMYFUNCTION("""COMPUTED_VALUE"""),"yes")</f>
        <v>yes</v>
      </c>
      <c r="R302" s="5" t="str">
        <f>IFERROR(__xludf.DUMMYFUNCTION("""COMPUTED_VALUE"""),"HiFi")</f>
        <v>HiFi</v>
      </c>
      <c r="S302" s="5" t="str">
        <f>IFERROR(__xludf.DUMMYFUNCTION("""COMPUTED_VALUE"""),"hifiasm_v0.15.5-r350")</f>
        <v>hifiasm_v0.15.5-r350</v>
      </c>
      <c r="T302" s="6" t="str">
        <f>IFERROR(__xludf.DUMMYFUNCTION("""COMPUTED_VALUE"""),"Pool???")</f>
        <v>Pool???</v>
      </c>
      <c r="U302" s="6">
        <f>IFERROR(__xludf.DUMMYFUNCTION("""COMPUTED_VALUE"""),2024.0)</f>
        <v>2024</v>
      </c>
      <c r="V302" s="6" t="str">
        <f>IFERROR(__xludf.DUMMYFUNCTION("""COMPUTED_VALUE"""),"no")</f>
        <v>no</v>
      </c>
      <c r="W302" s="6" t="str">
        <f>IFERROR(__xludf.DUMMYFUNCTION("""COMPUTED_VALUE"""),"Movilli")</f>
        <v>Movilli</v>
      </c>
      <c r="X302" s="5"/>
      <c r="Y302" s="5" t="str">
        <f>IFERROR(__xludf.DUMMYFUNCTION("""COMPUTED_VALUE"""),"unpublished")</f>
        <v>unpublished</v>
      </c>
      <c r="Z302" s="5"/>
      <c r="AA302" s="5"/>
      <c r="AB302" s="5"/>
    </row>
    <row r="303">
      <c r="A303" s="5">
        <f>IFERROR(__xludf.DUMMYFUNCTION("""COMPUTED_VALUE"""),100301.0)</f>
        <v>100301</v>
      </c>
      <c r="B303" s="5" t="str">
        <f>IFERROR(__xludf.DUMMYFUNCTION("""COMPUTED_VALUE"""),"Ler-1")</f>
        <v>Ler-1</v>
      </c>
      <c r="C303" s="5">
        <f>IFERROR(__xludf.DUMMYFUNCTION("""COMPUTED_VALUE"""),6932.0)</f>
        <v>6932</v>
      </c>
      <c r="D303" s="5"/>
      <c r="E303" s="5">
        <f>IFERROR(__xludf.DUMMYFUNCTION("""COMPUTED_VALUE"""),100301.0)</f>
        <v>100301</v>
      </c>
      <c r="F303" s="5">
        <f>IFERROR(__xludf.DUMMYFUNCTION("""COMPUTED_VALUE"""),1.0)</f>
        <v>1</v>
      </c>
      <c r="G303" s="5"/>
      <c r="H303" s="5" t="b">
        <f>IFERROR(__xludf.DUMMYFUNCTION("""COMPUTED_VALUE"""),FALSE)</f>
        <v>0</v>
      </c>
      <c r="I303" s="5"/>
      <c r="J303" s="5"/>
      <c r="K303" s="5"/>
      <c r="L303" s="5"/>
      <c r="M303" s="5"/>
      <c r="N303" s="5">
        <f>IFERROR(__xludf.DUMMYFUNCTION("""COMPUTED_VALUE"""),5.0)</f>
        <v>5</v>
      </c>
      <c r="O303" s="5"/>
      <c r="P303" s="5"/>
      <c r="Q303" s="5" t="str">
        <f>IFERROR(__xludf.DUMMYFUNCTION("""COMPUTED_VALUE"""),"no")</f>
        <v>no</v>
      </c>
      <c r="R303" s="5" t="str">
        <f>IFERROR(__xludf.DUMMYFUNCTION("""COMPUTED_VALUE"""),"HiFi")</f>
        <v>HiFi</v>
      </c>
      <c r="S303" s="5" t="str">
        <f>IFERROR(__xludf.DUMMYFUNCTION("""COMPUTED_VALUE"""),"hifiasm_v0.15.5-r350")</f>
        <v>hifiasm_v0.15.5-r350</v>
      </c>
      <c r="T303" s="6" t="str">
        <f>IFERROR(__xludf.DUMMYFUNCTION("""COMPUTED_VALUE"""),"Pool???")</f>
        <v>Pool???</v>
      </c>
      <c r="U303" s="6">
        <f>IFERROR(__xludf.DUMMYFUNCTION("""COMPUTED_VALUE"""),2024.0)</f>
        <v>2024</v>
      </c>
      <c r="V303" s="6" t="str">
        <f>IFERROR(__xludf.DUMMYFUNCTION("""COMPUTED_VALUE"""),"no")</f>
        <v>no</v>
      </c>
      <c r="W303" s="6" t="str">
        <f>IFERROR(__xludf.DUMMYFUNCTION("""COMPUTED_VALUE"""),"Movilli")</f>
        <v>Movilli</v>
      </c>
      <c r="X303" s="5"/>
      <c r="Y303" s="5" t="str">
        <f>IFERROR(__xludf.DUMMYFUNCTION("""COMPUTED_VALUE"""),"unpublished")</f>
        <v>unpublished</v>
      </c>
      <c r="Z303" s="5"/>
      <c r="AA303" s="5"/>
      <c r="AB303" s="5"/>
    </row>
    <row r="304">
      <c r="A304" s="5">
        <f>IFERROR(__xludf.DUMMYFUNCTION("""COMPUTED_VALUE"""),100302.0)</f>
        <v>100302</v>
      </c>
      <c r="B304" s="5" t="str">
        <f>IFERROR(__xludf.DUMMYFUNCTION("""COMPUTED_VALUE"""),"Nok-3")</f>
        <v>Nok-3</v>
      </c>
      <c r="C304" s="5">
        <f>IFERROR(__xludf.DUMMYFUNCTION("""COMPUTED_VALUE"""),6945.0)</f>
        <v>6945</v>
      </c>
      <c r="D304" s="5"/>
      <c r="E304" s="5"/>
      <c r="F304" s="5">
        <f>IFERROR(__xludf.DUMMYFUNCTION("""COMPUTED_VALUE"""),1.0)</f>
        <v>1</v>
      </c>
      <c r="G304" s="5"/>
      <c r="H304" s="5"/>
      <c r="I304" s="5"/>
      <c r="J304" s="5"/>
      <c r="K304" s="5"/>
      <c r="L304" s="5"/>
      <c r="M304" s="5"/>
      <c r="N304" s="5">
        <f>IFERROR(__xludf.DUMMYFUNCTION("""COMPUTED_VALUE"""),11.0)</f>
        <v>11</v>
      </c>
      <c r="O304" s="5"/>
      <c r="P304" s="5"/>
      <c r="Q304" s="5" t="str">
        <f>IFERROR(__xludf.DUMMYFUNCTION("""COMPUTED_VALUE"""),"yes")</f>
        <v>yes</v>
      </c>
      <c r="R304" s="5" t="str">
        <f>IFERROR(__xludf.DUMMYFUNCTION("""COMPUTED_VALUE"""),"HiFi")</f>
        <v>HiFi</v>
      </c>
      <c r="S304" s="5" t="str">
        <f>IFERROR(__xludf.DUMMYFUNCTION("""COMPUTED_VALUE"""),"hifiasm_v0.15.5-r350")</f>
        <v>hifiasm_v0.15.5-r350</v>
      </c>
      <c r="T304" s="6" t="str">
        <f>IFERROR(__xludf.DUMMYFUNCTION("""COMPUTED_VALUE"""),"Pool???")</f>
        <v>Pool???</v>
      </c>
      <c r="U304" s="6">
        <f>IFERROR(__xludf.DUMMYFUNCTION("""COMPUTED_VALUE"""),2024.0)</f>
        <v>2024</v>
      </c>
      <c r="V304" s="6" t="str">
        <f>IFERROR(__xludf.DUMMYFUNCTION("""COMPUTED_VALUE"""),"no")</f>
        <v>no</v>
      </c>
      <c r="W304" s="6" t="str">
        <f>IFERROR(__xludf.DUMMYFUNCTION("""COMPUTED_VALUE"""),"Movilli")</f>
        <v>Movilli</v>
      </c>
      <c r="X304" s="5"/>
      <c r="Y304" s="5" t="str">
        <f>IFERROR(__xludf.DUMMYFUNCTION("""COMPUTED_VALUE"""),"unpublished")</f>
        <v>unpublished</v>
      </c>
      <c r="Z304" s="5"/>
      <c r="AA304" s="5"/>
      <c r="AB304" s="5"/>
    </row>
    <row r="305">
      <c r="A305" s="5">
        <f>IFERROR(__xludf.DUMMYFUNCTION("""COMPUTED_VALUE"""),100303.0)</f>
        <v>100303</v>
      </c>
      <c r="B305" s="5" t="str">
        <f>IFERROR(__xludf.DUMMYFUNCTION("""COMPUTED_VALUE"""),"Aa-0")</f>
        <v>Aa-0</v>
      </c>
      <c r="C305" s="5">
        <f>IFERROR(__xludf.DUMMYFUNCTION("""COMPUTED_VALUE"""),7000.0)</f>
        <v>7000</v>
      </c>
      <c r="D305" s="5"/>
      <c r="E305" s="5"/>
      <c r="F305" s="5">
        <f>IFERROR(__xludf.DUMMYFUNCTION("""COMPUTED_VALUE"""),1.0)</f>
        <v>1</v>
      </c>
      <c r="G305" s="5"/>
      <c r="H305" s="5"/>
      <c r="I305" s="5"/>
      <c r="J305" s="5"/>
      <c r="K305" s="5"/>
      <c r="L305" s="5"/>
      <c r="M305" s="5"/>
      <c r="N305" s="5">
        <f>IFERROR(__xludf.DUMMYFUNCTION("""COMPUTED_VALUE"""),12.0)</f>
        <v>12</v>
      </c>
      <c r="O305" s="5"/>
      <c r="P305" s="5"/>
      <c r="Q305" s="5" t="str">
        <f>IFERROR(__xludf.DUMMYFUNCTION("""COMPUTED_VALUE"""),"yes")</f>
        <v>yes</v>
      </c>
      <c r="R305" s="5" t="str">
        <f>IFERROR(__xludf.DUMMYFUNCTION("""COMPUTED_VALUE"""),"HiFi")</f>
        <v>HiFi</v>
      </c>
      <c r="S305" s="5" t="str">
        <f>IFERROR(__xludf.DUMMYFUNCTION("""COMPUTED_VALUE"""),"hifiasm_v0.15.5-r350")</f>
        <v>hifiasm_v0.15.5-r350</v>
      </c>
      <c r="T305" s="6" t="str">
        <f>IFERROR(__xludf.DUMMYFUNCTION("""COMPUTED_VALUE"""),"Pool???")</f>
        <v>Pool???</v>
      </c>
      <c r="U305" s="6">
        <f>IFERROR(__xludf.DUMMYFUNCTION("""COMPUTED_VALUE"""),2024.0)</f>
        <v>2024</v>
      </c>
      <c r="V305" s="6" t="str">
        <f>IFERROR(__xludf.DUMMYFUNCTION("""COMPUTED_VALUE"""),"no")</f>
        <v>no</v>
      </c>
      <c r="W305" s="6" t="str">
        <f>IFERROR(__xludf.DUMMYFUNCTION("""COMPUTED_VALUE"""),"Movilli")</f>
        <v>Movilli</v>
      </c>
      <c r="X305" s="5"/>
      <c r="Y305" s="5" t="str">
        <f>IFERROR(__xludf.DUMMYFUNCTION("""COMPUTED_VALUE"""),"unpublished")</f>
        <v>unpublished</v>
      </c>
      <c r="Z305" s="5"/>
      <c r="AA305" s="5"/>
      <c r="AB305" s="5"/>
    </row>
    <row r="306">
      <c r="A306" s="5">
        <f>IFERROR(__xludf.DUMMYFUNCTION("""COMPUTED_VALUE"""),100304.0)</f>
        <v>100304</v>
      </c>
      <c r="B306" s="5" t="str">
        <f>IFERROR(__xludf.DUMMYFUNCTION("""COMPUTED_VALUE"""),"Baa-1")</f>
        <v>Baa-1</v>
      </c>
      <c r="C306" s="5">
        <f>IFERROR(__xludf.DUMMYFUNCTION("""COMPUTED_VALUE"""),7002.0)</f>
        <v>7002</v>
      </c>
      <c r="D306" s="5"/>
      <c r="E306" s="5"/>
      <c r="F306" s="5">
        <f>IFERROR(__xludf.DUMMYFUNCTION("""COMPUTED_VALUE"""),1.0)</f>
        <v>1</v>
      </c>
      <c r="G306" s="5"/>
      <c r="H306" s="5"/>
      <c r="I306" s="5"/>
      <c r="J306" s="5"/>
      <c r="K306" s="5"/>
      <c r="L306" s="5"/>
      <c r="M306" s="5"/>
      <c r="N306" s="5">
        <f>IFERROR(__xludf.DUMMYFUNCTION("""COMPUTED_VALUE"""),9.0)</f>
        <v>9</v>
      </c>
      <c r="O306" s="5"/>
      <c r="P306" s="5"/>
      <c r="Q306" s="5" t="str">
        <f>IFERROR(__xludf.DUMMYFUNCTION("""COMPUTED_VALUE"""),"yes")</f>
        <v>yes</v>
      </c>
      <c r="R306" s="5" t="str">
        <f>IFERROR(__xludf.DUMMYFUNCTION("""COMPUTED_VALUE"""),"HiFi")</f>
        <v>HiFi</v>
      </c>
      <c r="S306" s="5" t="str">
        <f>IFERROR(__xludf.DUMMYFUNCTION("""COMPUTED_VALUE"""),"hifiasm_v0.15.5-r350")</f>
        <v>hifiasm_v0.15.5-r350</v>
      </c>
      <c r="T306" s="6" t="str">
        <f>IFERROR(__xludf.DUMMYFUNCTION("""COMPUTED_VALUE"""),"Pool???")</f>
        <v>Pool???</v>
      </c>
      <c r="U306" s="6">
        <f>IFERROR(__xludf.DUMMYFUNCTION("""COMPUTED_VALUE"""),2024.0)</f>
        <v>2024</v>
      </c>
      <c r="V306" s="6" t="str">
        <f>IFERROR(__xludf.DUMMYFUNCTION("""COMPUTED_VALUE"""),"no")</f>
        <v>no</v>
      </c>
      <c r="W306" s="6" t="str">
        <f>IFERROR(__xludf.DUMMYFUNCTION("""COMPUTED_VALUE"""),"Movilli")</f>
        <v>Movilli</v>
      </c>
      <c r="X306" s="5"/>
      <c r="Y306" s="5" t="str">
        <f>IFERROR(__xludf.DUMMYFUNCTION("""COMPUTED_VALUE"""),"unpublished")</f>
        <v>unpublished</v>
      </c>
      <c r="Z306" s="5"/>
      <c r="AA306" s="5"/>
      <c r="AB306" s="5"/>
    </row>
    <row r="307">
      <c r="A307" s="5">
        <f>IFERROR(__xludf.DUMMYFUNCTION("""COMPUTED_VALUE"""),100305.0)</f>
        <v>100305</v>
      </c>
      <c r="B307" s="5" t="str">
        <f>IFERROR(__xludf.DUMMYFUNCTION("""COMPUTED_VALUE"""),"Bs-1")</f>
        <v>Bs-1</v>
      </c>
      <c r="C307" s="5">
        <f>IFERROR(__xludf.DUMMYFUNCTION("""COMPUTED_VALUE"""),7003.0)</f>
        <v>7003</v>
      </c>
      <c r="D307" s="5"/>
      <c r="E307" s="5"/>
      <c r="F307" s="5">
        <f>IFERROR(__xludf.DUMMYFUNCTION("""COMPUTED_VALUE"""),1.0)</f>
        <v>1</v>
      </c>
      <c r="G307" s="5"/>
      <c r="H307" s="5"/>
      <c r="I307" s="5"/>
      <c r="J307" s="5"/>
      <c r="K307" s="5"/>
      <c r="L307" s="5"/>
      <c r="M307" s="5"/>
      <c r="N307" s="5">
        <f>IFERROR(__xludf.DUMMYFUNCTION("""COMPUTED_VALUE"""),7.0)</f>
        <v>7</v>
      </c>
      <c r="O307" s="5"/>
      <c r="P307" s="5"/>
      <c r="Q307" s="5" t="str">
        <f>IFERROR(__xludf.DUMMYFUNCTION("""COMPUTED_VALUE"""),"yes")</f>
        <v>yes</v>
      </c>
      <c r="R307" s="5" t="str">
        <f>IFERROR(__xludf.DUMMYFUNCTION("""COMPUTED_VALUE"""),"HiFi")</f>
        <v>HiFi</v>
      </c>
      <c r="S307" s="5" t="str">
        <f>IFERROR(__xludf.DUMMYFUNCTION("""COMPUTED_VALUE"""),"hifiasm_v0.15.5-r350")</f>
        <v>hifiasm_v0.15.5-r350</v>
      </c>
      <c r="T307" s="6" t="str">
        <f>IFERROR(__xludf.DUMMYFUNCTION("""COMPUTED_VALUE"""),"Pool???")</f>
        <v>Pool???</v>
      </c>
      <c r="U307" s="6">
        <f>IFERROR(__xludf.DUMMYFUNCTION("""COMPUTED_VALUE"""),2024.0)</f>
        <v>2024</v>
      </c>
      <c r="V307" s="6" t="str">
        <f>IFERROR(__xludf.DUMMYFUNCTION("""COMPUTED_VALUE"""),"no")</f>
        <v>no</v>
      </c>
      <c r="W307" s="6" t="str">
        <f>IFERROR(__xludf.DUMMYFUNCTION("""COMPUTED_VALUE"""),"Movilli")</f>
        <v>Movilli</v>
      </c>
      <c r="X307" s="5"/>
      <c r="Y307" s="5" t="str">
        <f>IFERROR(__xludf.DUMMYFUNCTION("""COMPUTED_VALUE"""),"unpublished")</f>
        <v>unpublished</v>
      </c>
      <c r="Z307" s="5"/>
      <c r="AA307" s="5"/>
      <c r="AB307" s="5"/>
    </row>
    <row r="308">
      <c r="A308" s="5">
        <f>IFERROR(__xludf.DUMMYFUNCTION("""COMPUTED_VALUE"""),100306.0)</f>
        <v>100306</v>
      </c>
      <c r="B308" s="5" t="str">
        <f>IFERROR(__xludf.DUMMYFUNCTION("""COMPUTED_VALUE"""),"Bl-1")</f>
        <v>Bl-1</v>
      </c>
      <c r="C308" s="5">
        <f>IFERROR(__xludf.DUMMYFUNCTION("""COMPUTED_VALUE"""),7025.0)</f>
        <v>7025</v>
      </c>
      <c r="D308" s="5"/>
      <c r="E308" s="5"/>
      <c r="F308" s="5">
        <f>IFERROR(__xludf.DUMMYFUNCTION("""COMPUTED_VALUE"""),1.0)</f>
        <v>1</v>
      </c>
      <c r="G308" s="5"/>
      <c r="H308" s="5"/>
      <c r="I308" s="5"/>
      <c r="J308" s="5"/>
      <c r="K308" s="5"/>
      <c r="L308" s="5"/>
      <c r="M308" s="5"/>
      <c r="N308" s="5">
        <f>IFERROR(__xludf.DUMMYFUNCTION("""COMPUTED_VALUE"""),7.0)</f>
        <v>7</v>
      </c>
      <c r="O308" s="5"/>
      <c r="P308" s="5"/>
      <c r="Q308" s="5" t="str">
        <f>IFERROR(__xludf.DUMMYFUNCTION("""COMPUTED_VALUE"""),"yes")</f>
        <v>yes</v>
      </c>
      <c r="R308" s="5" t="str">
        <f>IFERROR(__xludf.DUMMYFUNCTION("""COMPUTED_VALUE"""),"HiFi")</f>
        <v>HiFi</v>
      </c>
      <c r="S308" s="5" t="str">
        <f>IFERROR(__xludf.DUMMYFUNCTION("""COMPUTED_VALUE"""),"hifiasm_v0.15.5-r350")</f>
        <v>hifiasm_v0.15.5-r350</v>
      </c>
      <c r="T308" s="6" t="str">
        <f>IFERROR(__xludf.DUMMYFUNCTION("""COMPUTED_VALUE"""),"Pool???")</f>
        <v>Pool???</v>
      </c>
      <c r="U308" s="6">
        <f>IFERROR(__xludf.DUMMYFUNCTION("""COMPUTED_VALUE"""),2024.0)</f>
        <v>2024</v>
      </c>
      <c r="V308" s="6" t="str">
        <f>IFERROR(__xludf.DUMMYFUNCTION("""COMPUTED_VALUE"""),"no")</f>
        <v>no</v>
      </c>
      <c r="W308" s="6" t="str">
        <f>IFERROR(__xludf.DUMMYFUNCTION("""COMPUTED_VALUE"""),"Movilli")</f>
        <v>Movilli</v>
      </c>
      <c r="X308" s="5"/>
      <c r="Y308" s="5" t="str">
        <f>IFERROR(__xludf.DUMMYFUNCTION("""COMPUTED_VALUE"""),"unpublished")</f>
        <v>unpublished</v>
      </c>
      <c r="Z308" s="5"/>
      <c r="AA308" s="5"/>
      <c r="AB308" s="5"/>
    </row>
    <row r="309">
      <c r="A309" s="5">
        <f>IFERROR(__xludf.DUMMYFUNCTION("""COMPUTED_VALUE"""),100307.0)</f>
        <v>100307</v>
      </c>
      <c r="B309" s="5" t="str">
        <f>IFERROR(__xludf.DUMMYFUNCTION("""COMPUTED_VALUE"""),"Com-1")</f>
        <v>Com-1</v>
      </c>
      <c r="C309" s="5">
        <f>IFERROR(__xludf.DUMMYFUNCTION("""COMPUTED_VALUE"""),7092.0)</f>
        <v>7092</v>
      </c>
      <c r="D309" s="5"/>
      <c r="E309" s="5"/>
      <c r="F309" s="5">
        <f>IFERROR(__xludf.DUMMYFUNCTION("""COMPUTED_VALUE"""),1.0)</f>
        <v>1</v>
      </c>
      <c r="G309" s="5"/>
      <c r="H309" s="5"/>
      <c r="I309" s="5"/>
      <c r="J309" s="5"/>
      <c r="K309" s="5"/>
      <c r="L309" s="5"/>
      <c r="M309" s="5"/>
      <c r="N309" s="5">
        <f>IFERROR(__xludf.DUMMYFUNCTION("""COMPUTED_VALUE"""),5.0)</f>
        <v>5</v>
      </c>
      <c r="O309" s="5"/>
      <c r="P309" s="5"/>
      <c r="Q309" s="5" t="str">
        <f>IFERROR(__xludf.DUMMYFUNCTION("""COMPUTED_VALUE"""),"yes")</f>
        <v>yes</v>
      </c>
      <c r="R309" s="5" t="str">
        <f>IFERROR(__xludf.DUMMYFUNCTION("""COMPUTED_VALUE"""),"HiFi")</f>
        <v>HiFi</v>
      </c>
      <c r="S309" s="5" t="str">
        <f>IFERROR(__xludf.DUMMYFUNCTION("""COMPUTED_VALUE"""),"hifiasm_v0.15.5-r350")</f>
        <v>hifiasm_v0.15.5-r350</v>
      </c>
      <c r="T309" s="6" t="str">
        <f>IFERROR(__xludf.DUMMYFUNCTION("""COMPUTED_VALUE"""),"Pool???")</f>
        <v>Pool???</v>
      </c>
      <c r="U309" s="6">
        <f>IFERROR(__xludf.DUMMYFUNCTION("""COMPUTED_VALUE"""),2024.0)</f>
        <v>2024</v>
      </c>
      <c r="V309" s="6" t="str">
        <f>IFERROR(__xludf.DUMMYFUNCTION("""COMPUTED_VALUE"""),"no")</f>
        <v>no</v>
      </c>
      <c r="W309" s="6" t="str">
        <f>IFERROR(__xludf.DUMMYFUNCTION("""COMPUTED_VALUE"""),"Movilli")</f>
        <v>Movilli</v>
      </c>
      <c r="X309" s="5"/>
      <c r="Y309" s="5" t="str">
        <f>IFERROR(__xludf.DUMMYFUNCTION("""COMPUTED_VALUE"""),"unpublished")</f>
        <v>unpublished</v>
      </c>
      <c r="Z309" s="5"/>
      <c r="AA309" s="5"/>
      <c r="AB309" s="5"/>
    </row>
    <row r="310">
      <c r="A310" s="5">
        <f>IFERROR(__xludf.DUMMYFUNCTION("""COMPUTED_VALUE"""),100308.0)</f>
        <v>100308</v>
      </c>
      <c r="B310" s="5" t="str">
        <f>IFERROR(__xludf.DUMMYFUNCTION("""COMPUTED_VALUE"""),"Pi-0")</f>
        <v>Pi-0</v>
      </c>
      <c r="C310" s="5">
        <f>IFERROR(__xludf.DUMMYFUNCTION("""COMPUTED_VALUE"""),7298.0)</f>
        <v>7298</v>
      </c>
      <c r="D310" s="5"/>
      <c r="E310" s="5">
        <f>IFERROR(__xludf.DUMMYFUNCTION("""COMPUTED_VALUE"""),100308.0)</f>
        <v>100308</v>
      </c>
      <c r="F310" s="5">
        <f>IFERROR(__xludf.DUMMYFUNCTION("""COMPUTED_VALUE"""),1.0)</f>
        <v>1</v>
      </c>
      <c r="G310" s="5"/>
      <c r="H310" s="5" t="b">
        <f>IFERROR(__xludf.DUMMYFUNCTION("""COMPUTED_VALUE"""),FALSE)</f>
        <v>0</v>
      </c>
      <c r="I310" s="5"/>
      <c r="J310" s="5"/>
      <c r="K310" s="5"/>
      <c r="L310" s="5"/>
      <c r="M310" s="5"/>
      <c r="N310" s="5">
        <f>IFERROR(__xludf.DUMMYFUNCTION("""COMPUTED_VALUE"""),17.0)</f>
        <v>17</v>
      </c>
      <c r="O310" s="5"/>
      <c r="P310" s="5"/>
      <c r="Q310" s="5" t="str">
        <f>IFERROR(__xludf.DUMMYFUNCTION("""COMPUTED_VALUE"""),"no")</f>
        <v>no</v>
      </c>
      <c r="R310" s="5" t="str">
        <f>IFERROR(__xludf.DUMMYFUNCTION("""COMPUTED_VALUE"""),"HiFi")</f>
        <v>HiFi</v>
      </c>
      <c r="S310" s="5" t="str">
        <f>IFERROR(__xludf.DUMMYFUNCTION("""COMPUTED_VALUE"""),"hifiasm_v0.15.5-r350")</f>
        <v>hifiasm_v0.15.5-r350</v>
      </c>
      <c r="T310" s="6" t="str">
        <f>IFERROR(__xludf.DUMMYFUNCTION("""COMPUTED_VALUE"""),"Pool???")</f>
        <v>Pool???</v>
      </c>
      <c r="U310" s="6">
        <f>IFERROR(__xludf.DUMMYFUNCTION("""COMPUTED_VALUE"""),2024.0)</f>
        <v>2024</v>
      </c>
      <c r="V310" s="6" t="str">
        <f>IFERROR(__xludf.DUMMYFUNCTION("""COMPUTED_VALUE"""),"no")</f>
        <v>no</v>
      </c>
      <c r="W310" s="6" t="str">
        <f>IFERROR(__xludf.DUMMYFUNCTION("""COMPUTED_VALUE"""),"Movilli")</f>
        <v>Movilli</v>
      </c>
      <c r="X310" s="5"/>
      <c r="Y310" s="5" t="str">
        <f>IFERROR(__xludf.DUMMYFUNCTION("""COMPUTED_VALUE"""),"unpublished")</f>
        <v>unpublished</v>
      </c>
      <c r="Z310" s="5"/>
      <c r="AA310" s="5"/>
      <c r="AB310" s="5"/>
    </row>
    <row r="311">
      <c r="A311" s="5">
        <f>IFERROR(__xludf.DUMMYFUNCTION("""COMPUTED_VALUE"""),100309.0)</f>
        <v>100309</v>
      </c>
      <c r="B311" s="5" t="str">
        <f>IFERROR(__xludf.DUMMYFUNCTION("""COMPUTED_VALUE"""),"Sten-0")</f>
        <v>Sten-0</v>
      </c>
      <c r="C311" s="5">
        <f>IFERROR(__xludf.DUMMYFUNCTION("""COMPUTED_VALUE"""),7346.0)</f>
        <v>7346</v>
      </c>
      <c r="D311" s="5"/>
      <c r="E311" s="5"/>
      <c r="F311" s="5">
        <f>IFERROR(__xludf.DUMMYFUNCTION("""COMPUTED_VALUE"""),1.0)</f>
        <v>1</v>
      </c>
      <c r="G311" s="5"/>
      <c r="H311" s="5"/>
      <c r="I311" s="5"/>
      <c r="J311" s="5"/>
      <c r="K311" s="5"/>
      <c r="L311" s="5"/>
      <c r="M311" s="5"/>
      <c r="N311" s="5">
        <f>IFERROR(__xludf.DUMMYFUNCTION("""COMPUTED_VALUE"""),8.0)</f>
        <v>8</v>
      </c>
      <c r="O311" s="5"/>
      <c r="P311" s="5"/>
      <c r="Q311" s="5" t="str">
        <f>IFERROR(__xludf.DUMMYFUNCTION("""COMPUTED_VALUE"""),"yes")</f>
        <v>yes</v>
      </c>
      <c r="R311" s="5" t="str">
        <f>IFERROR(__xludf.DUMMYFUNCTION("""COMPUTED_VALUE"""),"HiFi")</f>
        <v>HiFi</v>
      </c>
      <c r="S311" s="5" t="str">
        <f>IFERROR(__xludf.DUMMYFUNCTION("""COMPUTED_VALUE"""),"hifiasm_v0.15.5-r350")</f>
        <v>hifiasm_v0.15.5-r350</v>
      </c>
      <c r="T311" s="6" t="str">
        <f>IFERROR(__xludf.DUMMYFUNCTION("""COMPUTED_VALUE"""),"Pool???")</f>
        <v>Pool???</v>
      </c>
      <c r="U311" s="6">
        <f>IFERROR(__xludf.DUMMYFUNCTION("""COMPUTED_VALUE"""),2024.0)</f>
        <v>2024</v>
      </c>
      <c r="V311" s="6" t="str">
        <f>IFERROR(__xludf.DUMMYFUNCTION("""COMPUTED_VALUE"""),"no")</f>
        <v>no</v>
      </c>
      <c r="W311" s="6" t="str">
        <f>IFERROR(__xludf.DUMMYFUNCTION("""COMPUTED_VALUE"""),"Movilli")</f>
        <v>Movilli</v>
      </c>
      <c r="X311" s="5"/>
      <c r="Y311" s="5" t="str">
        <f>IFERROR(__xludf.DUMMYFUNCTION("""COMPUTED_VALUE"""),"unpublished")</f>
        <v>unpublished</v>
      </c>
      <c r="Z311" s="5"/>
      <c r="AA311" s="5"/>
      <c r="AB311" s="5"/>
    </row>
    <row r="312">
      <c r="A312" s="5">
        <f>IFERROR(__xludf.DUMMYFUNCTION("""COMPUTED_VALUE"""),100310.0)</f>
        <v>100310</v>
      </c>
      <c r="B312" s="5" t="str">
        <f>IFERROR(__xludf.DUMMYFUNCTION("""COMPUTED_VALUE"""),"Tscha-1")</f>
        <v>Tscha-1</v>
      </c>
      <c r="C312" s="5">
        <f>IFERROR(__xludf.DUMMYFUNCTION("""COMPUTED_VALUE"""),7372.0)</f>
        <v>7372</v>
      </c>
      <c r="D312" s="5"/>
      <c r="E312" s="5"/>
      <c r="F312" s="5">
        <f>IFERROR(__xludf.DUMMYFUNCTION("""COMPUTED_VALUE"""),1.0)</f>
        <v>1</v>
      </c>
      <c r="G312" s="5"/>
      <c r="H312" s="5"/>
      <c r="I312" s="5"/>
      <c r="J312" s="5"/>
      <c r="K312" s="5"/>
      <c r="L312" s="5"/>
      <c r="M312" s="5"/>
      <c r="N312" s="5">
        <f>IFERROR(__xludf.DUMMYFUNCTION("""COMPUTED_VALUE"""),13.0)</f>
        <v>13</v>
      </c>
      <c r="O312" s="5"/>
      <c r="P312" s="5"/>
      <c r="Q312" s="5" t="str">
        <f>IFERROR(__xludf.DUMMYFUNCTION("""COMPUTED_VALUE"""),"yes")</f>
        <v>yes</v>
      </c>
      <c r="R312" s="5" t="str">
        <f>IFERROR(__xludf.DUMMYFUNCTION("""COMPUTED_VALUE"""),"HiFi")</f>
        <v>HiFi</v>
      </c>
      <c r="S312" s="5" t="str">
        <f>IFERROR(__xludf.DUMMYFUNCTION("""COMPUTED_VALUE"""),"hifiasm_v0.15.5-r350")</f>
        <v>hifiasm_v0.15.5-r350</v>
      </c>
      <c r="T312" s="6" t="str">
        <f>IFERROR(__xludf.DUMMYFUNCTION("""COMPUTED_VALUE"""),"Pool???")</f>
        <v>Pool???</v>
      </c>
      <c r="U312" s="6">
        <f>IFERROR(__xludf.DUMMYFUNCTION("""COMPUTED_VALUE"""),2024.0)</f>
        <v>2024</v>
      </c>
      <c r="V312" s="6" t="str">
        <f>IFERROR(__xludf.DUMMYFUNCTION("""COMPUTED_VALUE"""),"no")</f>
        <v>no</v>
      </c>
      <c r="W312" s="6" t="str">
        <f>IFERROR(__xludf.DUMMYFUNCTION("""COMPUTED_VALUE"""),"Movilli")</f>
        <v>Movilli</v>
      </c>
      <c r="X312" s="5"/>
      <c r="Y312" s="5" t="str">
        <f>IFERROR(__xludf.DUMMYFUNCTION("""COMPUTED_VALUE"""),"unpublished")</f>
        <v>unpublished</v>
      </c>
      <c r="Z312" s="5"/>
      <c r="AA312" s="5"/>
      <c r="AB312" s="5"/>
    </row>
    <row r="313">
      <c r="A313" s="5">
        <f>IFERROR(__xludf.DUMMYFUNCTION("""COMPUTED_VALUE"""),100311.0)</f>
        <v>100311</v>
      </c>
      <c r="B313" s="5" t="str">
        <f>IFERROR(__xludf.DUMMYFUNCTION("""COMPUTED_VALUE"""),"Tsu-0")</f>
        <v>Tsu-0</v>
      </c>
      <c r="C313" s="5">
        <f>IFERROR(__xludf.DUMMYFUNCTION("""COMPUTED_VALUE"""),7373.0)</f>
        <v>7373</v>
      </c>
      <c r="D313" s="5"/>
      <c r="E313" s="5"/>
      <c r="F313" s="5">
        <f>IFERROR(__xludf.DUMMYFUNCTION("""COMPUTED_VALUE"""),1.0)</f>
        <v>1</v>
      </c>
      <c r="G313" s="5"/>
      <c r="H313" s="5"/>
      <c r="I313" s="5"/>
      <c r="J313" s="5"/>
      <c r="K313" s="5"/>
      <c r="L313" s="5"/>
      <c r="M313" s="5"/>
      <c r="N313" s="5">
        <f>IFERROR(__xludf.DUMMYFUNCTION("""COMPUTED_VALUE"""),4.0)</f>
        <v>4</v>
      </c>
      <c r="O313" s="5"/>
      <c r="P313" s="5"/>
      <c r="Q313" s="5" t="str">
        <f>IFERROR(__xludf.DUMMYFUNCTION("""COMPUTED_VALUE"""),"yes")</f>
        <v>yes</v>
      </c>
      <c r="R313" s="5" t="str">
        <f>IFERROR(__xludf.DUMMYFUNCTION("""COMPUTED_VALUE"""),"HiFi")</f>
        <v>HiFi</v>
      </c>
      <c r="S313" s="5" t="str">
        <f>IFERROR(__xludf.DUMMYFUNCTION("""COMPUTED_VALUE"""),"hifiasm_v0.15.5-r350")</f>
        <v>hifiasm_v0.15.5-r350</v>
      </c>
      <c r="T313" s="6" t="str">
        <f>IFERROR(__xludf.DUMMYFUNCTION("""COMPUTED_VALUE"""),"Pool???")</f>
        <v>Pool???</v>
      </c>
      <c r="U313" s="6">
        <f>IFERROR(__xludf.DUMMYFUNCTION("""COMPUTED_VALUE"""),2024.0)</f>
        <v>2024</v>
      </c>
      <c r="V313" s="6" t="str">
        <f>IFERROR(__xludf.DUMMYFUNCTION("""COMPUTED_VALUE"""),"no")</f>
        <v>no</v>
      </c>
      <c r="W313" s="6" t="str">
        <f>IFERROR(__xludf.DUMMYFUNCTION("""COMPUTED_VALUE"""),"Movilli")</f>
        <v>Movilli</v>
      </c>
      <c r="X313" s="5"/>
      <c r="Y313" s="5" t="str">
        <f>IFERROR(__xludf.DUMMYFUNCTION("""COMPUTED_VALUE"""),"unpublished")</f>
        <v>unpublished</v>
      </c>
      <c r="Z313" s="5"/>
      <c r="AA313" s="5"/>
      <c r="AB313" s="5"/>
    </row>
    <row r="314">
      <c r="A314" s="5">
        <f>IFERROR(__xludf.DUMMYFUNCTION("""COMPUTED_VALUE"""),100312.0)</f>
        <v>100312</v>
      </c>
      <c r="B314" s="5" t="str">
        <f>IFERROR(__xludf.DUMMYFUNCTION("""COMPUTED_VALUE"""),"Uk-1")</f>
        <v>Uk-1</v>
      </c>
      <c r="C314" s="5">
        <f>IFERROR(__xludf.DUMMYFUNCTION("""COMPUTED_VALUE"""),7378.0)</f>
        <v>7378</v>
      </c>
      <c r="D314" s="5"/>
      <c r="E314" s="5"/>
      <c r="F314" s="5">
        <f>IFERROR(__xludf.DUMMYFUNCTION("""COMPUTED_VALUE"""),1.0)</f>
        <v>1</v>
      </c>
      <c r="G314" s="5"/>
      <c r="H314" s="5"/>
      <c r="I314" s="5"/>
      <c r="J314" s="5"/>
      <c r="K314" s="5"/>
      <c r="L314" s="5"/>
      <c r="M314" s="5"/>
      <c r="N314" s="5">
        <f>IFERROR(__xludf.DUMMYFUNCTION("""COMPUTED_VALUE"""),9.0)</f>
        <v>9</v>
      </c>
      <c r="O314" s="5"/>
      <c r="P314" s="5"/>
      <c r="Q314" s="5" t="str">
        <f>IFERROR(__xludf.DUMMYFUNCTION("""COMPUTED_VALUE"""),"yes")</f>
        <v>yes</v>
      </c>
      <c r="R314" s="5" t="str">
        <f>IFERROR(__xludf.DUMMYFUNCTION("""COMPUTED_VALUE"""),"HiFi")</f>
        <v>HiFi</v>
      </c>
      <c r="S314" s="5" t="str">
        <f>IFERROR(__xludf.DUMMYFUNCTION("""COMPUTED_VALUE"""),"hifiasm_v0.15.5-r350")</f>
        <v>hifiasm_v0.15.5-r350</v>
      </c>
      <c r="T314" s="6" t="str">
        <f>IFERROR(__xludf.DUMMYFUNCTION("""COMPUTED_VALUE"""),"Pool???")</f>
        <v>Pool???</v>
      </c>
      <c r="U314" s="6">
        <f>IFERROR(__xludf.DUMMYFUNCTION("""COMPUTED_VALUE"""),2024.0)</f>
        <v>2024</v>
      </c>
      <c r="V314" s="6" t="str">
        <f>IFERROR(__xludf.DUMMYFUNCTION("""COMPUTED_VALUE"""),"no")</f>
        <v>no</v>
      </c>
      <c r="W314" s="6" t="str">
        <f>IFERROR(__xludf.DUMMYFUNCTION("""COMPUTED_VALUE"""),"Movilli")</f>
        <v>Movilli</v>
      </c>
      <c r="X314" s="5"/>
      <c r="Y314" s="5" t="str">
        <f>IFERROR(__xludf.DUMMYFUNCTION("""COMPUTED_VALUE"""),"unpublished")</f>
        <v>unpublished</v>
      </c>
      <c r="Z314" s="5"/>
      <c r="AA314" s="5"/>
      <c r="AB314" s="5"/>
    </row>
    <row r="315">
      <c r="A315" s="5">
        <f>IFERROR(__xludf.DUMMYFUNCTION("""COMPUTED_VALUE"""),100313.0)</f>
        <v>100313</v>
      </c>
      <c r="B315" s="5" t="str">
        <f>IFERROR(__xludf.DUMMYFUNCTION("""COMPUTED_VALUE"""),"Est")</f>
        <v>Est</v>
      </c>
      <c r="C315" s="5">
        <f>IFERROR(__xludf.DUMMYFUNCTION("""COMPUTED_VALUE"""),7127.0)</f>
        <v>7127</v>
      </c>
      <c r="D315" s="5"/>
      <c r="E315" s="5"/>
      <c r="F315" s="5">
        <f>IFERROR(__xludf.DUMMYFUNCTION("""COMPUTED_VALUE"""),1.0)</f>
        <v>1</v>
      </c>
      <c r="G315" s="5"/>
      <c r="H315" s="5"/>
      <c r="I315" s="5"/>
      <c r="J315" s="5"/>
      <c r="K315" s="5"/>
      <c r="L315" s="5"/>
      <c r="M315" s="5"/>
      <c r="N315" s="5">
        <f>IFERROR(__xludf.DUMMYFUNCTION("""COMPUTED_VALUE"""),8.0)</f>
        <v>8</v>
      </c>
      <c r="O315" s="5"/>
      <c r="P315" s="5"/>
      <c r="Q315" s="5" t="str">
        <f>IFERROR(__xludf.DUMMYFUNCTION("""COMPUTED_VALUE"""),"yes")</f>
        <v>yes</v>
      </c>
      <c r="R315" s="5" t="str">
        <f>IFERROR(__xludf.DUMMYFUNCTION("""COMPUTED_VALUE"""),"HiFi")</f>
        <v>HiFi</v>
      </c>
      <c r="S315" s="5" t="str">
        <f>IFERROR(__xludf.DUMMYFUNCTION("""COMPUTED_VALUE"""),"hifiasm_v0.15.5-r350")</f>
        <v>hifiasm_v0.15.5-r350</v>
      </c>
      <c r="T315" s="6" t="str">
        <f>IFERROR(__xludf.DUMMYFUNCTION("""COMPUTED_VALUE"""),"Pool???")</f>
        <v>Pool???</v>
      </c>
      <c r="U315" s="6">
        <f>IFERROR(__xludf.DUMMYFUNCTION("""COMPUTED_VALUE"""),2024.0)</f>
        <v>2024</v>
      </c>
      <c r="V315" s="6" t="str">
        <f>IFERROR(__xludf.DUMMYFUNCTION("""COMPUTED_VALUE"""),"no")</f>
        <v>no</v>
      </c>
      <c r="W315" s="6" t="str">
        <f>IFERROR(__xludf.DUMMYFUNCTION("""COMPUTED_VALUE"""),"Movilli")</f>
        <v>Movilli</v>
      </c>
      <c r="X315" s="5"/>
      <c r="Y315" s="5" t="str">
        <f>IFERROR(__xludf.DUMMYFUNCTION("""COMPUTED_VALUE"""),"unpublished")</f>
        <v>unpublished</v>
      </c>
      <c r="Z315" s="5"/>
      <c r="AA315" s="5"/>
      <c r="AB315" s="5"/>
    </row>
    <row r="316">
      <c r="A316" s="5">
        <f>IFERROR(__xludf.DUMMYFUNCTION("""COMPUTED_VALUE"""),100314.0)</f>
        <v>100314</v>
      </c>
      <c r="B316" s="5" t="str">
        <f>IFERROR(__xludf.DUMMYFUNCTION("""COMPUTED_VALUE"""),"Tsu-0")</f>
        <v>Tsu-0</v>
      </c>
      <c r="C316" s="5">
        <f>IFERROR(__xludf.DUMMYFUNCTION("""COMPUTED_VALUE"""),7373.0)</f>
        <v>7373</v>
      </c>
      <c r="D316" s="5"/>
      <c r="E316" s="5"/>
      <c r="F316" s="5">
        <f>IFERROR(__xludf.DUMMYFUNCTION("""COMPUTED_VALUE"""),2.0)</f>
        <v>2</v>
      </c>
      <c r="G316" s="5"/>
      <c r="H316" s="5"/>
      <c r="I316" s="5"/>
      <c r="J316" s="5"/>
      <c r="K316" s="5"/>
      <c r="L316" s="5"/>
      <c r="M316" s="5"/>
      <c r="N316" s="5">
        <f>IFERROR(__xludf.DUMMYFUNCTION("""COMPUTED_VALUE"""),4.0)</f>
        <v>4</v>
      </c>
      <c r="O316" s="5"/>
      <c r="P316" s="5"/>
      <c r="Q316" s="5" t="str">
        <f>IFERROR(__xludf.DUMMYFUNCTION("""COMPUTED_VALUE"""),"yes")</f>
        <v>yes</v>
      </c>
      <c r="R316" s="5" t="str">
        <f>IFERROR(__xludf.DUMMYFUNCTION("""COMPUTED_VALUE"""),"HiFi")</f>
        <v>HiFi</v>
      </c>
      <c r="S316" s="5" t="str">
        <f>IFERROR(__xludf.DUMMYFUNCTION("""COMPUTED_VALUE"""),"hifiasm_v0.19.2")</f>
        <v>hifiasm_v0.19.2</v>
      </c>
      <c r="T316" s="6" t="str">
        <f>IFERROR(__xludf.DUMMYFUNCTION("""COMPUTED_VALUE"""),"Pool???")</f>
        <v>Pool???</v>
      </c>
      <c r="U316" s="6">
        <f>IFERROR(__xludf.DUMMYFUNCTION("""COMPUTED_VALUE"""),2024.0)</f>
        <v>2024</v>
      </c>
      <c r="V316" s="6" t="str">
        <f>IFERROR(__xludf.DUMMYFUNCTION("""COMPUTED_VALUE"""),"no")</f>
        <v>no</v>
      </c>
      <c r="W316" s="6" t="str">
        <f>IFERROR(__xludf.DUMMYFUNCTION("""COMPUTED_VALUE"""),"Movilli")</f>
        <v>Movilli</v>
      </c>
      <c r="X316" s="5"/>
      <c r="Y316" s="5" t="str">
        <f>IFERROR(__xludf.DUMMYFUNCTION("""COMPUTED_VALUE"""),"unpublished")</f>
        <v>unpublished</v>
      </c>
      <c r="Z316" s="5"/>
      <c r="AA316" s="5"/>
      <c r="AB316" s="5"/>
    </row>
    <row r="317">
      <c r="A317" s="5">
        <f>IFERROR(__xludf.DUMMYFUNCTION("""COMPUTED_VALUE"""),100315.0)</f>
        <v>100315</v>
      </c>
      <c r="B317" s="5" t="str">
        <f>IFERROR(__xludf.DUMMYFUNCTION("""COMPUTED_VALUE"""),"Kondara")</f>
        <v>Kondara</v>
      </c>
      <c r="C317" s="5">
        <f>IFERROR(__xludf.DUMMYFUNCTION("""COMPUTED_VALUE"""),6929.0)</f>
        <v>6929</v>
      </c>
      <c r="D317" s="5"/>
      <c r="E317" s="5"/>
      <c r="F317" s="5">
        <f>IFERROR(__xludf.DUMMYFUNCTION("""COMPUTED_VALUE"""),1.0)</f>
        <v>1</v>
      </c>
      <c r="G317" s="5"/>
      <c r="H317" s="5"/>
      <c r="I317" s="5"/>
      <c r="J317" s="5" t="str">
        <f>IFERROR(__xludf.DUMMYFUNCTION("""COMPUTED_VALUE"""),"CS76532")</f>
        <v>CS76532</v>
      </c>
      <c r="K317" s="5"/>
      <c r="L317" s="5"/>
      <c r="M317" s="5"/>
      <c r="N317" s="5">
        <f>IFERROR(__xludf.DUMMYFUNCTION("""COMPUTED_VALUE"""),17.0)</f>
        <v>17</v>
      </c>
      <c r="O317" s="5"/>
      <c r="P317" s="5"/>
      <c r="Q317" s="5" t="str">
        <f>IFERROR(__xludf.DUMMYFUNCTION("""COMPUTED_VALUE"""),"no")</f>
        <v>no</v>
      </c>
      <c r="R317" s="5" t="str">
        <f>IFERROR(__xludf.DUMMYFUNCTION("""COMPUTED_VALUE"""),"HiFi")</f>
        <v>HiFi</v>
      </c>
      <c r="S317" s="5" t="str">
        <f>IFERROR(__xludf.DUMMYFUNCTION("""COMPUTED_VALUE"""),"hifiasm_v0.15.4")</f>
        <v>hifiasm_v0.15.4</v>
      </c>
      <c r="T317" s="6" t="str">
        <f>IFERROR(__xludf.DUMMYFUNCTION("""COMPUTED_VALUE"""),"Pool")</f>
        <v>Pool</v>
      </c>
      <c r="U317" s="6">
        <f>IFERROR(__xludf.DUMMYFUNCTION("""COMPUTED_VALUE"""),2024.0)</f>
        <v>2024</v>
      </c>
      <c r="V317" s="6" t="str">
        <f>IFERROR(__xludf.DUMMYFUNCTION("""COMPUTED_VALUE"""),"no")</f>
        <v>no</v>
      </c>
      <c r="W317" s="6" t="str">
        <f>IFERROR(__xludf.DUMMYFUNCTION("""COMPUTED_VALUE"""),"Teasdale")</f>
        <v>Teasdale</v>
      </c>
      <c r="X317" s="5">
        <f>IFERROR(__xludf.DUMMYFUNCTION("""COMPUTED_VALUE"""),2024.0)</f>
        <v>2024</v>
      </c>
      <c r="Y317" s="5" t="str">
        <f>IFERROR(__xludf.DUMMYFUNCTION("""COMPUTED_VALUE"""),"bioRxiv")</f>
        <v>bioRxiv</v>
      </c>
      <c r="Z317" s="5"/>
      <c r="AA317" s="7" t="str">
        <f>IFERROR(__xludf.DUMMYFUNCTION("""COMPUTED_VALUE"""),"https://www.biorxiv.org/content/10.1101/2024.09.02.610789v1")</f>
        <v>https://www.biorxiv.org/content/10.1101/2024.09.02.610789v1</v>
      </c>
      <c r="AB317" s="5"/>
    </row>
    <row r="318">
      <c r="A318" s="5">
        <f>IFERROR(__xludf.DUMMYFUNCTION("""COMPUTED_VALUE"""),100316.0)</f>
        <v>100316</v>
      </c>
      <c r="B318" s="5" t="str">
        <f>IFERROR(__xludf.DUMMYFUNCTION("""COMPUTED_VALUE"""),"Lag1-6")</f>
        <v>Lag1-6</v>
      </c>
      <c r="C318" s="5">
        <f>IFERROR(__xludf.DUMMYFUNCTION("""COMPUTED_VALUE"""),9104.0)</f>
        <v>9104</v>
      </c>
      <c r="D318" s="5"/>
      <c r="E318" s="5"/>
      <c r="F318" s="5">
        <f>IFERROR(__xludf.DUMMYFUNCTION("""COMPUTED_VALUE"""),1.0)</f>
        <v>1</v>
      </c>
      <c r="G318" s="5"/>
      <c r="H318" s="5"/>
      <c r="I318" s="5"/>
      <c r="J318" s="5" t="str">
        <f>IFERROR(__xludf.DUMMYFUNCTION("""COMPUTED_VALUE"""),"CS77001")</f>
        <v>CS77001</v>
      </c>
      <c r="K318" s="5"/>
      <c r="L318" s="5"/>
      <c r="M318" s="5"/>
      <c r="N318" s="5">
        <f>IFERROR(__xludf.DUMMYFUNCTION("""COMPUTED_VALUE"""),14.0)</f>
        <v>14</v>
      </c>
      <c r="O318" s="5"/>
      <c r="P318" s="5"/>
      <c r="Q318" s="5" t="str">
        <f>IFERROR(__xludf.DUMMYFUNCTION("""COMPUTED_VALUE"""),"no")</f>
        <v>no</v>
      </c>
      <c r="R318" s="5" t="str">
        <f>IFERROR(__xludf.DUMMYFUNCTION("""COMPUTED_VALUE"""),"HiFi")</f>
        <v>HiFi</v>
      </c>
      <c r="S318" s="5" t="str">
        <f>IFERROR(__xludf.DUMMYFUNCTION("""COMPUTED_VALUE"""),"hifiasm_v0.15.4")</f>
        <v>hifiasm_v0.15.4</v>
      </c>
      <c r="T318" s="6" t="str">
        <f>IFERROR(__xludf.DUMMYFUNCTION("""COMPUTED_VALUE"""),"Pool")</f>
        <v>Pool</v>
      </c>
      <c r="U318" s="6">
        <f>IFERROR(__xludf.DUMMYFUNCTION("""COMPUTED_VALUE"""),2024.0)</f>
        <v>2024</v>
      </c>
      <c r="V318" s="6" t="str">
        <f>IFERROR(__xludf.DUMMYFUNCTION("""COMPUTED_VALUE"""),"no")</f>
        <v>no</v>
      </c>
      <c r="W318" s="6" t="str">
        <f>IFERROR(__xludf.DUMMYFUNCTION("""COMPUTED_VALUE"""),"Teasdale")</f>
        <v>Teasdale</v>
      </c>
      <c r="X318" s="5">
        <f>IFERROR(__xludf.DUMMYFUNCTION("""COMPUTED_VALUE"""),2024.0)</f>
        <v>2024</v>
      </c>
      <c r="Y318" s="5" t="str">
        <f>IFERROR(__xludf.DUMMYFUNCTION("""COMPUTED_VALUE"""),"bioRxiv")</f>
        <v>bioRxiv</v>
      </c>
      <c r="Z318" s="5"/>
      <c r="AA318" s="7" t="str">
        <f>IFERROR(__xludf.DUMMYFUNCTION("""COMPUTED_VALUE"""),"https://www.biorxiv.org/content/10.1101/2024.09.02.610789v1")</f>
        <v>https://www.biorxiv.org/content/10.1101/2024.09.02.610789v1</v>
      </c>
      <c r="AB318" s="5"/>
    </row>
    <row r="319">
      <c r="A319" s="5">
        <f>IFERROR(__xludf.DUMMYFUNCTION("""COMPUTED_VALUE"""),100317.0)</f>
        <v>100317</v>
      </c>
      <c r="B319" s="5" t="str">
        <f>IFERROR(__xludf.DUMMYFUNCTION("""COMPUTED_VALUE"""),"IP-Sac-0")</f>
        <v>IP-Sac-0</v>
      </c>
      <c r="C319" s="5">
        <f>IFERROR(__xludf.DUMMYFUNCTION("""COMPUTED_VALUE"""),9578.0)</f>
        <v>9578</v>
      </c>
      <c r="D319" s="5"/>
      <c r="E319" s="5"/>
      <c r="F319" s="5">
        <f>IFERROR(__xludf.DUMMYFUNCTION("""COMPUTED_VALUE"""),1.0)</f>
        <v>1</v>
      </c>
      <c r="G319" s="5"/>
      <c r="H319" s="5"/>
      <c r="I319" s="5"/>
      <c r="J319" s="5" t="str">
        <f>IFERROR(__xludf.DUMMYFUNCTION("""COMPUTED_VALUE"""),"CS77229")</f>
        <v>CS77229</v>
      </c>
      <c r="K319" s="5"/>
      <c r="L319" s="5"/>
      <c r="M319" s="5"/>
      <c r="N319" s="5">
        <f>IFERROR(__xludf.DUMMYFUNCTION("""COMPUTED_VALUE"""),14.0)</f>
        <v>14</v>
      </c>
      <c r="O319" s="5"/>
      <c r="P319" s="5"/>
      <c r="Q319" s="5" t="str">
        <f>IFERROR(__xludf.DUMMYFUNCTION("""COMPUTED_VALUE"""),"no")</f>
        <v>no</v>
      </c>
      <c r="R319" s="5" t="str">
        <f>IFERROR(__xludf.DUMMYFUNCTION("""COMPUTED_VALUE"""),"HiFi")</f>
        <v>HiFi</v>
      </c>
      <c r="S319" s="5" t="str">
        <f>IFERROR(__xludf.DUMMYFUNCTION("""COMPUTED_VALUE"""),"hifiasm_v0.15.4")</f>
        <v>hifiasm_v0.15.4</v>
      </c>
      <c r="T319" s="6" t="str">
        <f>IFERROR(__xludf.DUMMYFUNCTION("""COMPUTED_VALUE"""),"Pool")</f>
        <v>Pool</v>
      </c>
      <c r="U319" s="6">
        <f>IFERROR(__xludf.DUMMYFUNCTION("""COMPUTED_VALUE"""),2024.0)</f>
        <v>2024</v>
      </c>
      <c r="V319" s="6" t="str">
        <f>IFERROR(__xludf.DUMMYFUNCTION("""COMPUTED_VALUE"""),"no")</f>
        <v>no</v>
      </c>
      <c r="W319" s="6" t="str">
        <f>IFERROR(__xludf.DUMMYFUNCTION("""COMPUTED_VALUE"""),"Teasdale")</f>
        <v>Teasdale</v>
      </c>
      <c r="X319" s="5">
        <f>IFERROR(__xludf.DUMMYFUNCTION("""COMPUTED_VALUE"""),2024.0)</f>
        <v>2024</v>
      </c>
      <c r="Y319" s="5" t="str">
        <f>IFERROR(__xludf.DUMMYFUNCTION("""COMPUTED_VALUE"""),"bioRxiv")</f>
        <v>bioRxiv</v>
      </c>
      <c r="Z319" s="5"/>
      <c r="AA319" s="7" t="str">
        <f>IFERROR(__xludf.DUMMYFUNCTION("""COMPUTED_VALUE"""),"https://www.biorxiv.org/content/10.1101/2024.09.02.610789v1")</f>
        <v>https://www.biorxiv.org/content/10.1101/2024.09.02.610789v1</v>
      </c>
      <c r="AB319" s="5"/>
    </row>
    <row r="320">
      <c r="A320" s="5">
        <f>IFERROR(__xludf.DUMMYFUNCTION("""COMPUTED_VALUE"""),100318.0)</f>
        <v>100318</v>
      </c>
      <c r="B320" s="5" t="str">
        <f>IFERROR(__xludf.DUMMYFUNCTION("""COMPUTED_VALUE"""),"T850")</f>
        <v>T850</v>
      </c>
      <c r="C320" s="5">
        <f>IFERROR(__xludf.DUMMYFUNCTION("""COMPUTED_VALUE"""),6137.0)</f>
        <v>6137</v>
      </c>
      <c r="D320" s="5"/>
      <c r="E320" s="5"/>
      <c r="F320" s="5">
        <f>IFERROR(__xludf.DUMMYFUNCTION("""COMPUTED_VALUE"""),1.0)</f>
        <v>1</v>
      </c>
      <c r="G320" s="5"/>
      <c r="H320" s="5"/>
      <c r="I320" s="5"/>
      <c r="J320" s="5" t="str">
        <f>IFERROR(__xludf.DUMMYFUNCTION("""COMPUTED_VALUE"""),"CS77320")</f>
        <v>CS77320</v>
      </c>
      <c r="K320" s="5"/>
      <c r="L320" s="5"/>
      <c r="M320" s="5"/>
      <c r="N320" s="5">
        <f>IFERROR(__xludf.DUMMYFUNCTION("""COMPUTED_VALUE"""),19.0)</f>
        <v>19</v>
      </c>
      <c r="O320" s="5"/>
      <c r="P320" s="5"/>
      <c r="Q320" s="5" t="str">
        <f>IFERROR(__xludf.DUMMYFUNCTION("""COMPUTED_VALUE"""),"no")</f>
        <v>no</v>
      </c>
      <c r="R320" s="5" t="str">
        <f>IFERROR(__xludf.DUMMYFUNCTION("""COMPUTED_VALUE"""),"HiFi")</f>
        <v>HiFi</v>
      </c>
      <c r="S320" s="5" t="str">
        <f>IFERROR(__xludf.DUMMYFUNCTION("""COMPUTED_VALUE"""),"hifiasm_v0.15.4")</f>
        <v>hifiasm_v0.15.4</v>
      </c>
      <c r="T320" s="6" t="str">
        <f>IFERROR(__xludf.DUMMYFUNCTION("""COMPUTED_VALUE"""),"Pool")</f>
        <v>Pool</v>
      </c>
      <c r="U320" s="6">
        <f>IFERROR(__xludf.DUMMYFUNCTION("""COMPUTED_VALUE"""),2024.0)</f>
        <v>2024</v>
      </c>
      <c r="V320" s="6" t="str">
        <f>IFERROR(__xludf.DUMMYFUNCTION("""COMPUTED_VALUE"""),"no")</f>
        <v>no</v>
      </c>
      <c r="W320" s="6" t="str">
        <f>IFERROR(__xludf.DUMMYFUNCTION("""COMPUTED_VALUE"""),"Teasdale")</f>
        <v>Teasdale</v>
      </c>
      <c r="X320" s="5">
        <f>IFERROR(__xludf.DUMMYFUNCTION("""COMPUTED_VALUE"""),2024.0)</f>
        <v>2024</v>
      </c>
      <c r="Y320" s="5" t="str">
        <f>IFERROR(__xludf.DUMMYFUNCTION("""COMPUTED_VALUE"""),"bioRxiv")</f>
        <v>bioRxiv</v>
      </c>
      <c r="Z320" s="5"/>
      <c r="AA320" s="7" t="str">
        <f>IFERROR(__xludf.DUMMYFUNCTION("""COMPUTED_VALUE"""),"https://www.biorxiv.org/content/10.1101/2024.09.02.610789v1")</f>
        <v>https://www.biorxiv.org/content/10.1101/2024.09.02.610789v1</v>
      </c>
      <c r="AB320" s="5"/>
    </row>
    <row r="321">
      <c r="A321" s="5">
        <f>IFERROR(__xludf.DUMMYFUNCTION("""COMPUTED_VALUE"""),100319.0)</f>
        <v>100319</v>
      </c>
      <c r="B321" s="5" t="str">
        <f>IFERROR(__xludf.DUMMYFUNCTION("""COMPUTED_VALUE"""),"IP-Per-0")</f>
        <v>IP-Per-0</v>
      </c>
      <c r="C321" s="5">
        <f>IFERROR(__xludf.DUMMYFUNCTION("""COMPUTED_VALUE"""),9879.0)</f>
        <v>9879</v>
      </c>
      <c r="D321" s="5"/>
      <c r="E321" s="5">
        <f>IFERROR(__xludf.DUMMYFUNCTION("""COMPUTED_VALUE"""),100319.0)</f>
        <v>100319</v>
      </c>
      <c r="F321" s="5">
        <f>IFERROR(__xludf.DUMMYFUNCTION("""COMPUTED_VALUE"""),1.0)</f>
        <v>1</v>
      </c>
      <c r="G321" s="5"/>
      <c r="H321" s="5" t="b">
        <f>IFERROR(__xludf.DUMMYFUNCTION("""COMPUTED_VALUE"""),FALSE)</f>
        <v>0</v>
      </c>
      <c r="I321" s="5"/>
      <c r="J321" s="5" t="str">
        <f>IFERROR(__xludf.DUMMYFUNCTION("""COMPUTED_VALUE"""),"CS77169")</f>
        <v>CS77169</v>
      </c>
      <c r="K321" s="5"/>
      <c r="L321" s="5"/>
      <c r="M321" s="5"/>
      <c r="N321" s="5">
        <f>IFERROR(__xludf.DUMMYFUNCTION("""COMPUTED_VALUE"""),29.0)</f>
        <v>29</v>
      </c>
      <c r="O321" s="5"/>
      <c r="P321" s="5"/>
      <c r="Q321" s="5" t="str">
        <f>IFERROR(__xludf.DUMMYFUNCTION("""COMPUTED_VALUE"""),"no")</f>
        <v>no</v>
      </c>
      <c r="R321" s="5" t="str">
        <f>IFERROR(__xludf.DUMMYFUNCTION("""COMPUTED_VALUE"""),"HiFi")</f>
        <v>HiFi</v>
      </c>
      <c r="S321" s="5" t="str">
        <f>IFERROR(__xludf.DUMMYFUNCTION("""COMPUTED_VALUE"""),"hifiasm_v0.15.4")</f>
        <v>hifiasm_v0.15.4</v>
      </c>
      <c r="T321" s="6" t="str">
        <f>IFERROR(__xludf.DUMMYFUNCTION("""COMPUTED_VALUE"""),"Pool")</f>
        <v>Pool</v>
      </c>
      <c r="U321" s="6">
        <f>IFERROR(__xludf.DUMMYFUNCTION("""COMPUTED_VALUE"""),2023.0)</f>
        <v>2023</v>
      </c>
      <c r="V321" s="6" t="str">
        <f>IFERROR(__xludf.DUMMYFUNCTION("""COMPUTED_VALUE"""),"yes")</f>
        <v>yes</v>
      </c>
      <c r="W321" s="6" t="str">
        <f>IFERROR(__xludf.DUMMYFUNCTION("""COMPUTED_VALUE"""),"Teasdale")</f>
        <v>Teasdale</v>
      </c>
      <c r="X321" s="5">
        <f>IFERROR(__xludf.DUMMYFUNCTION("""COMPUTED_VALUE"""),2024.0)</f>
        <v>2024</v>
      </c>
      <c r="Y321" s="5" t="str">
        <f>IFERROR(__xludf.DUMMYFUNCTION("""COMPUTED_VALUE"""),"bioRxiv")</f>
        <v>bioRxiv</v>
      </c>
      <c r="Z321" s="5"/>
      <c r="AA321" s="7" t="str">
        <f>IFERROR(__xludf.DUMMYFUNCTION("""COMPUTED_VALUE"""),"https://www.biorxiv.org/content/10.1101/2024.09.02.610789v1")</f>
        <v>https://www.biorxiv.org/content/10.1101/2024.09.02.610789v1</v>
      </c>
      <c r="AB321" s="5"/>
    </row>
    <row r="322">
      <c r="A322" s="5">
        <f>IFERROR(__xludf.DUMMYFUNCTION("""COMPUTED_VALUE"""),100320.0)</f>
        <v>100320</v>
      </c>
      <c r="B322" s="5" t="str">
        <f>IFERROR(__xludf.DUMMYFUNCTION("""COMPUTED_VALUE"""),"IP-Moa-0")</f>
        <v>IP-Moa-0</v>
      </c>
      <c r="C322" s="5">
        <f>IFERROR(__xludf.DUMMYFUNCTION("""COMPUTED_VALUE"""),9557.0)</f>
        <v>9557</v>
      </c>
      <c r="D322" s="5"/>
      <c r="E322" s="5"/>
      <c r="F322" s="5">
        <f>IFERROR(__xludf.DUMMYFUNCTION("""COMPUTED_VALUE"""),1.0)</f>
        <v>1</v>
      </c>
      <c r="G322" s="5"/>
      <c r="H322" s="5"/>
      <c r="I322" s="5"/>
      <c r="J322" s="5"/>
      <c r="K322" s="5"/>
      <c r="L322" s="5"/>
      <c r="M322" s="5"/>
      <c r="N322" s="5">
        <f>IFERROR(__xludf.DUMMYFUNCTION("""COMPUTED_VALUE"""),9.0)</f>
        <v>9</v>
      </c>
      <c r="O322" s="5"/>
      <c r="P322" s="5"/>
      <c r="Q322" s="5" t="str">
        <f>IFERROR(__xludf.DUMMYFUNCTION("""COMPUTED_VALUE"""),"yes")</f>
        <v>yes</v>
      </c>
      <c r="R322" s="5" t="str">
        <f>IFERROR(__xludf.DUMMYFUNCTION("""COMPUTED_VALUE"""),"HiFi")</f>
        <v>HiFi</v>
      </c>
      <c r="S322" s="5" t="str">
        <f>IFERROR(__xludf.DUMMYFUNCTION("""COMPUTED_VALUE"""),"hifiasm_v0.16.1-r375")</f>
        <v>hifiasm_v0.16.1-r375</v>
      </c>
      <c r="T322" s="6" t="str">
        <f>IFERROR(__xludf.DUMMYFUNCTION("""COMPUTED_VALUE"""),"Individual")</f>
        <v>Individual</v>
      </c>
      <c r="U322" s="6">
        <f>IFERROR(__xludf.DUMMYFUNCTION("""COMPUTED_VALUE"""),2024.0)</f>
        <v>2024</v>
      </c>
      <c r="V322" s="6" t="str">
        <f>IFERROR(__xludf.DUMMYFUNCTION("""COMPUTED_VALUE"""),"no")</f>
        <v>no</v>
      </c>
      <c r="W322" s="6" t="str">
        <f>IFERROR(__xludf.DUMMYFUNCTION("""COMPUTED_VALUE"""),"Lucke")</f>
        <v>Lucke</v>
      </c>
      <c r="X322" s="5"/>
      <c r="Y322" s="5" t="str">
        <f>IFERROR(__xludf.DUMMYFUNCTION("""COMPUTED_VALUE"""),"unpublished")</f>
        <v>unpublished</v>
      </c>
      <c r="Z322" s="5"/>
      <c r="AA322" s="5"/>
      <c r="AB322" s="5"/>
    </row>
    <row r="323">
      <c r="A323" s="5">
        <f>IFERROR(__xludf.DUMMYFUNCTION("""COMPUTED_VALUE"""),100321.0)</f>
        <v>100321</v>
      </c>
      <c r="B323" s="5" t="str">
        <f>IFERROR(__xludf.DUMMYFUNCTION("""COMPUTED_VALUE"""),"Tü-NK-12")</f>
        <v>Tü-NK-12</v>
      </c>
      <c r="C323" s="5">
        <f>IFERROR(__xludf.DUMMYFUNCTION("""COMPUTED_VALUE"""),9811.0)</f>
        <v>9811</v>
      </c>
      <c r="D323" s="5"/>
      <c r="E323" s="5"/>
      <c r="F323" s="5"/>
      <c r="G323" s="5"/>
      <c r="H323" s="5"/>
      <c r="I323" s="5" t="str">
        <f>IFERROR(__xludf.DUMMYFUNCTION("""COMPUTED_VALUE"""),"Not avaiable")</f>
        <v>Not avaiable</v>
      </c>
      <c r="J323" s="5" t="str">
        <f>IFERROR(__xludf.DUMMYFUNCTION("""COMPUTED_VALUE"""),"CS77395 ")</f>
        <v>CS77395 </v>
      </c>
      <c r="K323" s="5"/>
      <c r="L323" s="5"/>
      <c r="M323" s="5"/>
      <c r="N323" s="5"/>
      <c r="O323" s="5"/>
      <c r="P323" s="5"/>
      <c r="Q323" s="5" t="str">
        <f>IFERROR(__xludf.DUMMYFUNCTION("""COMPUTED_VALUE"""),"no")</f>
        <v>no</v>
      </c>
      <c r="R323" s="5" t="str">
        <f>IFERROR(__xludf.DUMMYFUNCTION("""COMPUTED_VALUE"""),"HiFi")</f>
        <v>HiFi</v>
      </c>
      <c r="S323" s="5"/>
      <c r="T323" s="6"/>
      <c r="U323" s="6"/>
      <c r="V323" s="6"/>
      <c r="W323" s="6" t="str">
        <f>IFERROR(__xludf.DUMMYFUNCTION("""COMPUTED_VALUE"""),"Schwab")</f>
        <v>Schwab</v>
      </c>
      <c r="X323" s="5"/>
      <c r="Y323" s="5" t="str">
        <f>IFERROR(__xludf.DUMMYFUNCTION("""COMPUTED_VALUE"""),"unpublished")</f>
        <v>unpublished</v>
      </c>
      <c r="Z323" s="5"/>
      <c r="AA323" s="5"/>
      <c r="AB323" s="5"/>
    </row>
    <row r="324">
      <c r="A324" s="5">
        <f>IFERROR(__xludf.DUMMYFUNCTION("""COMPUTED_VALUE"""),100322.0)</f>
        <v>100322</v>
      </c>
      <c r="B324" s="5" t="str">
        <f>IFERROR(__xludf.DUMMYFUNCTION("""COMPUTED_VALUE"""),"PA2338")</f>
        <v>PA2338</v>
      </c>
      <c r="C324" s="5">
        <f>IFERROR(__xludf.DUMMYFUNCTION("""COMPUTED_VALUE"""),22119.0)</f>
        <v>22119</v>
      </c>
      <c r="D324" s="5"/>
      <c r="E324" s="5"/>
      <c r="F324" s="5"/>
      <c r="G324" s="5"/>
      <c r="H324" s="5"/>
      <c r="I324" s="5" t="str">
        <f>IFERROR(__xludf.DUMMYFUNCTION("""COMPUTED_VALUE"""),"Not avaiable")</f>
        <v>Not avaiable</v>
      </c>
      <c r="J324" s="5"/>
      <c r="K324" s="5"/>
      <c r="L324" s="5"/>
      <c r="M324" s="5"/>
      <c r="N324" s="5"/>
      <c r="O324" s="5"/>
      <c r="P324" s="5"/>
      <c r="Q324" s="5" t="str">
        <f>IFERROR(__xludf.DUMMYFUNCTION("""COMPUTED_VALUE"""),"no")</f>
        <v>no</v>
      </c>
      <c r="R324" s="5" t="str">
        <f>IFERROR(__xludf.DUMMYFUNCTION("""COMPUTED_VALUE"""),"HiFi")</f>
        <v>HiFi</v>
      </c>
      <c r="S324" s="5"/>
      <c r="T324" s="6"/>
      <c r="U324" s="6"/>
      <c r="V324" s="6"/>
      <c r="W324" s="6" t="str">
        <f>IFERROR(__xludf.DUMMYFUNCTION("""COMPUTED_VALUE"""),"Schwab")</f>
        <v>Schwab</v>
      </c>
      <c r="X324" s="5"/>
      <c r="Y324" s="5" t="str">
        <f>IFERROR(__xludf.DUMMYFUNCTION("""COMPUTED_VALUE"""),"unpublished")</f>
        <v>unpublished</v>
      </c>
      <c r="Z324" s="5"/>
      <c r="AA324" s="5"/>
      <c r="AB324" s="5"/>
    </row>
    <row r="325">
      <c r="A325" s="5">
        <f>IFERROR(__xludf.DUMMYFUNCTION("""COMPUTED_VALUE"""),100323.0)</f>
        <v>100323</v>
      </c>
      <c r="B325" s="5" t="str">
        <f>IFERROR(__xludf.DUMMYFUNCTION("""COMPUTED_VALUE"""),"Col-0")</f>
        <v>Col-0</v>
      </c>
      <c r="C325" s="5">
        <f>IFERROR(__xludf.DUMMYFUNCTION("""COMPUTED_VALUE"""),6909.0)</f>
        <v>6909</v>
      </c>
      <c r="D325" s="5" t="str">
        <f>IFERROR(__xludf.DUMMYFUNCTION("""COMPUTED_VALUE"""),"MA32-59")</f>
        <v>MA32-59</v>
      </c>
      <c r="E325" s="5"/>
      <c r="F325" s="5">
        <f>IFERROR(__xludf.DUMMYFUNCTION("""COMPUTED_VALUE"""),1.0)</f>
        <v>1</v>
      </c>
      <c r="G325" s="5"/>
      <c r="H325" s="5" t="b">
        <f>IFERROR(__xludf.DUMMYFUNCTION("""COMPUTED_VALUE"""),FALSE)</f>
        <v>0</v>
      </c>
      <c r="I325" s="5"/>
      <c r="J325" s="5"/>
      <c r="K325" s="5"/>
      <c r="L325" s="5"/>
      <c r="M325" s="5"/>
      <c r="N325" s="5">
        <f>IFERROR(__xludf.DUMMYFUNCTION("""COMPUTED_VALUE"""),7.0)</f>
        <v>7</v>
      </c>
      <c r="O325" s="5"/>
      <c r="P325" s="5"/>
      <c r="Q325" s="5" t="str">
        <f>IFERROR(__xludf.DUMMYFUNCTION("""COMPUTED_VALUE"""),"no")</f>
        <v>no</v>
      </c>
      <c r="R325" s="5" t="str">
        <f>IFERROR(__xludf.DUMMYFUNCTION("""COMPUTED_VALUE"""),"HiFi")</f>
        <v>HiFi</v>
      </c>
      <c r="S325" s="5" t="str">
        <f>IFERROR(__xludf.DUMMYFUNCTION("""COMPUTED_VALUE"""),"hifiasm_v0.16.1-r375")</f>
        <v>hifiasm_v0.16.1-r375</v>
      </c>
      <c r="T325" s="6" t="str">
        <f>IFERROR(__xludf.DUMMYFUNCTION("""COMPUTED_VALUE"""),"Individual")</f>
        <v>Individual</v>
      </c>
      <c r="U325" s="6">
        <f>IFERROR(__xludf.DUMMYFUNCTION("""COMPUTED_VALUE"""),2024.0)</f>
        <v>2024</v>
      </c>
      <c r="V325" s="6" t="str">
        <f>IFERROR(__xludf.DUMMYFUNCTION("""COMPUTED_VALUE"""),"no")</f>
        <v>no</v>
      </c>
      <c r="W325" s="6" t="str">
        <f>IFERROR(__xludf.DUMMYFUNCTION("""COMPUTED_VALUE"""),"Rabanal")</f>
        <v>Rabanal</v>
      </c>
      <c r="X325" s="5"/>
      <c r="Y325" s="5" t="str">
        <f>IFERROR(__xludf.DUMMYFUNCTION("""COMPUTED_VALUE"""),"unpublished")</f>
        <v>unpublished</v>
      </c>
      <c r="Z325" s="5"/>
      <c r="AA325" s="5"/>
      <c r="AB325" s="5"/>
    </row>
    <row r="326">
      <c r="A326" s="5">
        <f>IFERROR(__xludf.DUMMYFUNCTION("""COMPUTED_VALUE"""),100324.0)</f>
        <v>100324</v>
      </c>
      <c r="B326" s="5" t="str">
        <f>IFERROR(__xludf.DUMMYFUNCTION("""COMPUTED_VALUE"""),"Col-0")</f>
        <v>Col-0</v>
      </c>
      <c r="C326" s="5">
        <f>IFERROR(__xludf.DUMMYFUNCTION("""COMPUTED_VALUE"""),6909.0)</f>
        <v>6909</v>
      </c>
      <c r="D326" s="5" t="str">
        <f>IFERROR(__xludf.DUMMYFUNCTION("""COMPUTED_VALUE"""),"MA32-69")</f>
        <v>MA32-69</v>
      </c>
      <c r="E326" s="5"/>
      <c r="F326" s="5">
        <f>IFERROR(__xludf.DUMMYFUNCTION("""COMPUTED_VALUE"""),1.0)</f>
        <v>1</v>
      </c>
      <c r="G326" s="5"/>
      <c r="H326" s="5" t="b">
        <f>IFERROR(__xludf.DUMMYFUNCTION("""COMPUTED_VALUE"""),FALSE)</f>
        <v>0</v>
      </c>
      <c r="I326" s="5"/>
      <c r="J326" s="5"/>
      <c r="K326" s="5"/>
      <c r="L326" s="5"/>
      <c r="M326" s="5"/>
      <c r="N326" s="5">
        <f>IFERROR(__xludf.DUMMYFUNCTION("""COMPUTED_VALUE"""),8.0)</f>
        <v>8</v>
      </c>
      <c r="O326" s="5"/>
      <c r="P326" s="5"/>
      <c r="Q326" s="5" t="str">
        <f>IFERROR(__xludf.DUMMYFUNCTION("""COMPUTED_VALUE"""),"no")</f>
        <v>no</v>
      </c>
      <c r="R326" s="5" t="str">
        <f>IFERROR(__xludf.DUMMYFUNCTION("""COMPUTED_VALUE"""),"HiFi")</f>
        <v>HiFi</v>
      </c>
      <c r="S326" s="5" t="str">
        <f>IFERROR(__xludf.DUMMYFUNCTION("""COMPUTED_VALUE"""),"hifiasm_v0.16.1-r375")</f>
        <v>hifiasm_v0.16.1-r375</v>
      </c>
      <c r="T326" s="6" t="str">
        <f>IFERROR(__xludf.DUMMYFUNCTION("""COMPUTED_VALUE"""),"Individual")</f>
        <v>Individual</v>
      </c>
      <c r="U326" s="6">
        <f>IFERROR(__xludf.DUMMYFUNCTION("""COMPUTED_VALUE"""),2024.0)</f>
        <v>2024</v>
      </c>
      <c r="V326" s="6" t="str">
        <f>IFERROR(__xludf.DUMMYFUNCTION("""COMPUTED_VALUE"""),"no")</f>
        <v>no</v>
      </c>
      <c r="W326" s="6" t="str">
        <f>IFERROR(__xludf.DUMMYFUNCTION("""COMPUTED_VALUE"""),"Rabanal")</f>
        <v>Rabanal</v>
      </c>
      <c r="X326" s="5"/>
      <c r="Y326" s="5" t="str">
        <f>IFERROR(__xludf.DUMMYFUNCTION("""COMPUTED_VALUE"""),"unpublished")</f>
        <v>unpublished</v>
      </c>
      <c r="Z326" s="5"/>
      <c r="AA326" s="5"/>
      <c r="AB326" s="5"/>
    </row>
    <row r="327">
      <c r="A327" s="5">
        <f>IFERROR(__xludf.DUMMYFUNCTION("""COMPUTED_VALUE"""),100325.0)</f>
        <v>100325</v>
      </c>
      <c r="B327" s="5" t="str">
        <f>IFERROR(__xludf.DUMMYFUNCTION("""COMPUTED_VALUE"""),"Col-0")</f>
        <v>Col-0</v>
      </c>
      <c r="C327" s="5">
        <f>IFERROR(__xludf.DUMMYFUNCTION("""COMPUTED_VALUE"""),6909.0)</f>
        <v>6909</v>
      </c>
      <c r="D327" s="5" t="str">
        <f>IFERROR(__xludf.DUMMYFUNCTION("""COMPUTED_VALUE"""),"MA32-89")</f>
        <v>MA32-89</v>
      </c>
      <c r="E327" s="5"/>
      <c r="F327" s="5">
        <f>IFERROR(__xludf.DUMMYFUNCTION("""COMPUTED_VALUE"""),1.0)</f>
        <v>1</v>
      </c>
      <c r="G327" s="5"/>
      <c r="H327" s="5" t="b">
        <f>IFERROR(__xludf.DUMMYFUNCTION("""COMPUTED_VALUE"""),FALSE)</f>
        <v>0</v>
      </c>
      <c r="I327" s="5"/>
      <c r="J327" s="5"/>
      <c r="K327" s="5"/>
      <c r="L327" s="5"/>
      <c r="M327" s="5"/>
      <c r="N327" s="5">
        <f>IFERROR(__xludf.DUMMYFUNCTION("""COMPUTED_VALUE"""),7.0)</f>
        <v>7</v>
      </c>
      <c r="O327" s="5"/>
      <c r="P327" s="5"/>
      <c r="Q327" s="5" t="str">
        <f>IFERROR(__xludf.DUMMYFUNCTION("""COMPUTED_VALUE"""),"no")</f>
        <v>no</v>
      </c>
      <c r="R327" s="5" t="str">
        <f>IFERROR(__xludf.DUMMYFUNCTION("""COMPUTED_VALUE"""),"HiFi")</f>
        <v>HiFi</v>
      </c>
      <c r="S327" s="5" t="str">
        <f>IFERROR(__xludf.DUMMYFUNCTION("""COMPUTED_VALUE"""),"hifiasm_v0.16.1-r375")</f>
        <v>hifiasm_v0.16.1-r375</v>
      </c>
      <c r="T327" s="6" t="str">
        <f>IFERROR(__xludf.DUMMYFUNCTION("""COMPUTED_VALUE"""),"Individual")</f>
        <v>Individual</v>
      </c>
      <c r="U327" s="6">
        <f>IFERROR(__xludf.DUMMYFUNCTION("""COMPUTED_VALUE"""),2024.0)</f>
        <v>2024</v>
      </c>
      <c r="V327" s="6" t="str">
        <f>IFERROR(__xludf.DUMMYFUNCTION("""COMPUTED_VALUE"""),"no")</f>
        <v>no</v>
      </c>
      <c r="W327" s="6" t="str">
        <f>IFERROR(__xludf.DUMMYFUNCTION("""COMPUTED_VALUE"""),"Rabanal")</f>
        <v>Rabanal</v>
      </c>
      <c r="X327" s="5"/>
      <c r="Y327" s="5" t="str">
        <f>IFERROR(__xludf.DUMMYFUNCTION("""COMPUTED_VALUE"""),"unpublished")</f>
        <v>unpublished</v>
      </c>
      <c r="Z327" s="5"/>
      <c r="AA327" s="5"/>
      <c r="AB327" s="5"/>
    </row>
    <row r="328">
      <c r="A328" s="5">
        <f>IFERROR(__xludf.DUMMYFUNCTION("""COMPUTED_VALUE"""),100326.0)</f>
        <v>100326</v>
      </c>
      <c r="B328" s="5" t="str">
        <f>IFERROR(__xludf.DUMMYFUNCTION("""COMPUTED_VALUE"""),"Col-0")</f>
        <v>Col-0</v>
      </c>
      <c r="C328" s="5">
        <f>IFERROR(__xludf.DUMMYFUNCTION("""COMPUTED_VALUE"""),6909.0)</f>
        <v>6909</v>
      </c>
      <c r="D328" s="5" t="str">
        <f>IFERROR(__xludf.DUMMYFUNCTION("""COMPUTED_VALUE"""),"MA32-119")</f>
        <v>MA32-119</v>
      </c>
      <c r="E328" s="5"/>
      <c r="F328" s="5">
        <f>IFERROR(__xludf.DUMMYFUNCTION("""COMPUTED_VALUE"""),1.0)</f>
        <v>1</v>
      </c>
      <c r="G328" s="5"/>
      <c r="H328" s="5" t="b">
        <f>IFERROR(__xludf.DUMMYFUNCTION("""COMPUTED_VALUE"""),FALSE)</f>
        <v>0</v>
      </c>
      <c r="I328" s="5"/>
      <c r="J328" s="5"/>
      <c r="K328" s="5"/>
      <c r="L328" s="5"/>
      <c r="M328" s="5"/>
      <c r="N328" s="5">
        <f>IFERROR(__xludf.DUMMYFUNCTION("""COMPUTED_VALUE"""),6.0)</f>
        <v>6</v>
      </c>
      <c r="O328" s="5"/>
      <c r="P328" s="5"/>
      <c r="Q328" s="5" t="str">
        <f>IFERROR(__xludf.DUMMYFUNCTION("""COMPUTED_VALUE"""),"no")</f>
        <v>no</v>
      </c>
      <c r="R328" s="5" t="str">
        <f>IFERROR(__xludf.DUMMYFUNCTION("""COMPUTED_VALUE"""),"HiFi")</f>
        <v>HiFi</v>
      </c>
      <c r="S328" s="5" t="str">
        <f>IFERROR(__xludf.DUMMYFUNCTION("""COMPUTED_VALUE"""),"hifiasm_v0.16.1-r375")</f>
        <v>hifiasm_v0.16.1-r375</v>
      </c>
      <c r="T328" s="6" t="str">
        <f>IFERROR(__xludf.DUMMYFUNCTION("""COMPUTED_VALUE"""),"Individual")</f>
        <v>Individual</v>
      </c>
      <c r="U328" s="6">
        <f>IFERROR(__xludf.DUMMYFUNCTION("""COMPUTED_VALUE"""),2024.0)</f>
        <v>2024</v>
      </c>
      <c r="V328" s="6" t="str">
        <f>IFERROR(__xludf.DUMMYFUNCTION("""COMPUTED_VALUE"""),"no")</f>
        <v>no</v>
      </c>
      <c r="W328" s="6" t="str">
        <f>IFERROR(__xludf.DUMMYFUNCTION("""COMPUTED_VALUE"""),"Rabanal")</f>
        <v>Rabanal</v>
      </c>
      <c r="X328" s="5"/>
      <c r="Y328" s="5" t="str">
        <f>IFERROR(__xludf.DUMMYFUNCTION("""COMPUTED_VALUE"""),"unpublished")</f>
        <v>unpublished</v>
      </c>
      <c r="Z328" s="5"/>
      <c r="AA328" s="5"/>
      <c r="AB328" s="5"/>
    </row>
    <row r="329">
      <c r="A329" s="5">
        <f>IFERROR(__xludf.DUMMYFUNCTION("""COMPUTED_VALUE"""),100327.0)</f>
        <v>100327</v>
      </c>
      <c r="B329" s="5" t="str">
        <f>IFERROR(__xludf.DUMMYFUNCTION("""COMPUTED_VALUE"""),"Jm-0")</f>
        <v>Jm-0</v>
      </c>
      <c r="C329" s="5">
        <f>IFERROR(__xludf.DUMMYFUNCTION("""COMPUTED_VALUE"""),8313.0)</f>
        <v>8313</v>
      </c>
      <c r="D329" s="5"/>
      <c r="E329" s="5"/>
      <c r="F329" s="5">
        <f>IFERROR(__xludf.DUMMYFUNCTION("""COMPUTED_VALUE"""),1.0)</f>
        <v>1</v>
      </c>
      <c r="G329" s="5"/>
      <c r="H329" s="5"/>
      <c r="I329" s="5"/>
      <c r="J329" s="5"/>
      <c r="K329" s="5"/>
      <c r="L329" s="5"/>
      <c r="M329" s="5"/>
      <c r="N329" s="5">
        <f>IFERROR(__xludf.DUMMYFUNCTION("""COMPUTED_VALUE"""),9.0)</f>
        <v>9</v>
      </c>
      <c r="O329" s="5"/>
      <c r="P329" s="5"/>
      <c r="Q329" s="5" t="str">
        <f>IFERROR(__xludf.DUMMYFUNCTION("""COMPUTED_VALUE"""),"yes")</f>
        <v>yes</v>
      </c>
      <c r="R329" s="5" t="str">
        <f>IFERROR(__xludf.DUMMYFUNCTION("""COMPUTED_VALUE"""),"HiFi")</f>
        <v>HiFi</v>
      </c>
      <c r="S329" s="5" t="str">
        <f>IFERROR(__xludf.DUMMYFUNCTION("""COMPUTED_VALUE"""),"hifiasm_v0.16.1-r375")</f>
        <v>hifiasm_v0.16.1-r375</v>
      </c>
      <c r="T329" s="6" t="str">
        <f>IFERROR(__xludf.DUMMYFUNCTION("""COMPUTED_VALUE"""),"Individual")</f>
        <v>Individual</v>
      </c>
      <c r="U329" s="6">
        <f>IFERROR(__xludf.DUMMYFUNCTION("""COMPUTED_VALUE"""),2024.0)</f>
        <v>2024</v>
      </c>
      <c r="V329" s="6" t="str">
        <f>IFERROR(__xludf.DUMMYFUNCTION("""COMPUTED_VALUE"""),"yes")</f>
        <v>yes</v>
      </c>
      <c r="W329" s="6" t="str">
        <f>IFERROR(__xludf.DUMMYFUNCTION("""COMPUTED_VALUE"""),"Gorringe")</f>
        <v>Gorringe</v>
      </c>
      <c r="X329" s="5">
        <f>IFERROR(__xludf.DUMMYFUNCTION("""COMPUTED_VALUE"""),2025.0)</f>
        <v>2025</v>
      </c>
      <c r="Y329" s="5" t="str">
        <f>IFERROR(__xludf.DUMMYFUNCTION("""COMPUTED_VALUE"""),"bioRxiv")</f>
        <v>bioRxiv</v>
      </c>
      <c r="Z329" s="5"/>
      <c r="AA329" s="7" t="str">
        <f>IFERROR(__xludf.DUMMYFUNCTION("""COMPUTED_VALUE"""),"https://www.biorxiv.org/content/10.1101/2025.01.04.631303v1")</f>
        <v>https://www.biorxiv.org/content/10.1101/2025.01.04.631303v1</v>
      </c>
      <c r="AB329" s="5"/>
    </row>
    <row r="330">
      <c r="A330" s="5">
        <f>IFERROR(__xludf.DUMMYFUNCTION("""COMPUTED_VALUE"""),100328.0)</f>
        <v>100328</v>
      </c>
      <c r="B330" s="5" t="str">
        <f>IFERROR(__xludf.DUMMYFUNCTION("""COMPUTED_VALUE"""),"Jl-3")</f>
        <v>Jl-3</v>
      </c>
      <c r="C330" s="5">
        <f>IFERROR(__xludf.DUMMYFUNCTION("""COMPUTED_VALUE"""),7424.0)</f>
        <v>7424</v>
      </c>
      <c r="D330" s="5"/>
      <c r="E330" s="5"/>
      <c r="F330" s="5">
        <f>IFERROR(__xludf.DUMMYFUNCTION("""COMPUTED_VALUE"""),1.0)</f>
        <v>1</v>
      </c>
      <c r="G330" s="5"/>
      <c r="H330" s="5"/>
      <c r="I330" s="5"/>
      <c r="J330" s="5"/>
      <c r="K330" s="5"/>
      <c r="L330" s="5"/>
      <c r="M330" s="5"/>
      <c r="N330" s="5">
        <f>IFERROR(__xludf.DUMMYFUNCTION("""COMPUTED_VALUE"""),9.0)</f>
        <v>9</v>
      </c>
      <c r="O330" s="5"/>
      <c r="P330" s="5"/>
      <c r="Q330" s="5" t="str">
        <f>IFERROR(__xludf.DUMMYFUNCTION("""COMPUTED_VALUE"""),"yes")</f>
        <v>yes</v>
      </c>
      <c r="R330" s="5" t="str">
        <f>IFERROR(__xludf.DUMMYFUNCTION("""COMPUTED_VALUE"""),"HiFi")</f>
        <v>HiFi</v>
      </c>
      <c r="S330" s="5" t="str">
        <f>IFERROR(__xludf.DUMMYFUNCTION("""COMPUTED_VALUE"""),"hifiasm_v0.16.1-r375")</f>
        <v>hifiasm_v0.16.1-r375</v>
      </c>
      <c r="T330" s="6" t="str">
        <f>IFERROR(__xludf.DUMMYFUNCTION("""COMPUTED_VALUE"""),"Individual")</f>
        <v>Individual</v>
      </c>
      <c r="U330" s="6">
        <f>IFERROR(__xludf.DUMMYFUNCTION("""COMPUTED_VALUE"""),2024.0)</f>
        <v>2024</v>
      </c>
      <c r="V330" s="6" t="str">
        <f>IFERROR(__xludf.DUMMYFUNCTION("""COMPUTED_VALUE"""),"no")</f>
        <v>no</v>
      </c>
      <c r="W330" s="6" t="str">
        <f>IFERROR(__xludf.DUMMYFUNCTION("""COMPUTED_VALUE"""),"Rabanal")</f>
        <v>Rabanal</v>
      </c>
      <c r="X330" s="5"/>
      <c r="Y330" s="5" t="str">
        <f>IFERROR(__xludf.DUMMYFUNCTION("""COMPUTED_VALUE"""),"unpublished")</f>
        <v>unpublished</v>
      </c>
      <c r="Z330" s="5"/>
      <c r="AA330" s="5"/>
      <c r="AB330" s="5"/>
    </row>
    <row r="331">
      <c r="A331" s="5">
        <f>IFERROR(__xludf.DUMMYFUNCTION("""COMPUTED_VALUE"""),100329.0)</f>
        <v>100329</v>
      </c>
      <c r="B331" s="5" t="str">
        <f>IFERROR(__xludf.DUMMYFUNCTION("""COMPUTED_VALUE"""),"Ha-P-13")</f>
        <v>Ha-P-13</v>
      </c>
      <c r="C331" s="5">
        <f>IFERROR(__xludf.DUMMYFUNCTION("""COMPUTED_VALUE"""),9786.0)</f>
        <v>9786</v>
      </c>
      <c r="D331" s="5"/>
      <c r="E331" s="5"/>
      <c r="F331" s="5">
        <f>IFERROR(__xludf.DUMMYFUNCTION("""COMPUTED_VALUE"""),1.0)</f>
        <v>1</v>
      </c>
      <c r="G331" s="5"/>
      <c r="H331" s="5"/>
      <c r="I331" s="5"/>
      <c r="J331" s="5" t="str">
        <f>IFERROR(__xludf.DUMMYFUNCTION("""COMPUTED_VALUE"""),"CS76901")</f>
        <v>CS76901</v>
      </c>
      <c r="K331" s="5"/>
      <c r="L331" s="5"/>
      <c r="M331" s="5"/>
      <c r="N331" s="5">
        <f>IFERROR(__xludf.DUMMYFUNCTION("""COMPUTED_VALUE"""),7.0)</f>
        <v>7</v>
      </c>
      <c r="O331" s="5"/>
      <c r="P331" s="5"/>
      <c r="Q331" s="5" t="str">
        <f>IFERROR(__xludf.DUMMYFUNCTION("""COMPUTED_VALUE"""),"yes")</f>
        <v>yes</v>
      </c>
      <c r="R331" s="5" t="str">
        <f>IFERROR(__xludf.DUMMYFUNCTION("""COMPUTED_VALUE"""),"HiFi")</f>
        <v>HiFi</v>
      </c>
      <c r="S331" s="8" t="str">
        <f>IFERROR(__xludf.DUMMYFUNCTION("""COMPUTED_VALUE"""),"hifiasm_v0.16.1_Canu_v2.1.39")</f>
        <v>hifiasm_v0.16.1_Canu_v2.1.39</v>
      </c>
      <c r="T331" s="6" t="str">
        <f>IFERROR(__xludf.DUMMYFUNCTION("""COMPUTED_VALUE"""),"Individual")</f>
        <v>Individual</v>
      </c>
      <c r="U331" s="6">
        <f>IFERROR(__xludf.DUMMYFUNCTION("""COMPUTED_VALUE"""),2024.0)</f>
        <v>2024</v>
      </c>
      <c r="V331" s="6" t="str">
        <f>IFERROR(__xludf.DUMMYFUNCTION("""COMPUTED_VALUE"""),"yes")</f>
        <v>yes</v>
      </c>
      <c r="W331" s="6" t="str">
        <f>IFERROR(__xludf.DUMMYFUNCTION("""COMPUTED_VALUE"""),"Rabanal")</f>
        <v>Rabanal</v>
      </c>
      <c r="X331" s="5"/>
      <c r="Y331" s="5" t="str">
        <f>IFERROR(__xludf.DUMMYFUNCTION("""COMPUTED_VALUE"""),"unpublished")</f>
        <v>unpublished</v>
      </c>
      <c r="Z331" s="5"/>
      <c r="AA331" s="5"/>
      <c r="AB331" s="5"/>
    </row>
    <row r="332">
      <c r="A332" s="5">
        <f>IFERROR(__xludf.DUMMYFUNCTION("""COMPUTED_VALUE"""),100330.0)</f>
        <v>100330</v>
      </c>
      <c r="B332" s="5" t="str">
        <f>IFERROR(__xludf.DUMMYFUNCTION("""COMPUTED_VALUE"""),"Ale-Stenar-64-24")</f>
        <v>Ale-Stenar-64-24</v>
      </c>
      <c r="C332" s="5">
        <f>IFERROR(__xludf.DUMMYFUNCTION("""COMPUTED_VALUE"""),1002.0)</f>
        <v>1002</v>
      </c>
      <c r="D332" s="5"/>
      <c r="E332" s="5"/>
      <c r="F332" s="5">
        <f>IFERROR(__xludf.DUMMYFUNCTION("""COMPUTED_VALUE"""),1.0)</f>
        <v>1</v>
      </c>
      <c r="G332" s="5"/>
      <c r="H332" s="5"/>
      <c r="I332" s="5"/>
      <c r="J332" s="5"/>
      <c r="K332" s="5"/>
      <c r="L332" s="5"/>
      <c r="M332" s="5"/>
      <c r="N332" s="5">
        <f>IFERROR(__xludf.DUMMYFUNCTION("""COMPUTED_VALUE"""),11.0)</f>
        <v>11</v>
      </c>
      <c r="O332" s="5"/>
      <c r="P332" s="5"/>
      <c r="Q332" s="5" t="str">
        <f>IFERROR(__xludf.DUMMYFUNCTION("""COMPUTED_VALUE"""),"yes")</f>
        <v>yes</v>
      </c>
      <c r="R332" s="5" t="str">
        <f>IFERROR(__xludf.DUMMYFUNCTION("""COMPUTED_VALUE"""),"HiFi")</f>
        <v>HiFi</v>
      </c>
      <c r="S332" s="5" t="str">
        <f>IFERROR(__xludf.DUMMYFUNCTION("""COMPUTED_VALUE"""),"hifiasm_v0.16.1-r375")</f>
        <v>hifiasm_v0.16.1-r375</v>
      </c>
      <c r="T332" s="6" t="str">
        <f>IFERROR(__xludf.DUMMYFUNCTION("""COMPUTED_VALUE"""),"Individual")</f>
        <v>Individual</v>
      </c>
      <c r="U332" s="6">
        <f>IFERROR(__xludf.DUMMYFUNCTION("""COMPUTED_VALUE"""),2024.0)</f>
        <v>2024</v>
      </c>
      <c r="V332" s="6" t="str">
        <f>IFERROR(__xludf.DUMMYFUNCTION("""COMPUTED_VALUE"""),"no")</f>
        <v>no</v>
      </c>
      <c r="W332" s="6" t="str">
        <f>IFERROR(__xludf.DUMMYFUNCTION("""COMPUTED_VALUE"""),"Rabanal")</f>
        <v>Rabanal</v>
      </c>
      <c r="X332" s="5"/>
      <c r="Y332" s="5" t="str">
        <f>IFERROR(__xludf.DUMMYFUNCTION("""COMPUTED_VALUE"""),"unpublished")</f>
        <v>unpublished</v>
      </c>
      <c r="Z332" s="5"/>
      <c r="AA332" s="5"/>
      <c r="AB332" s="5"/>
    </row>
    <row r="333">
      <c r="A333" s="5">
        <f>IFERROR(__xludf.DUMMYFUNCTION("""COMPUTED_VALUE"""),100331.0)</f>
        <v>100331</v>
      </c>
      <c r="B333" s="5" t="str">
        <f>IFERROR(__xludf.DUMMYFUNCTION("""COMPUTED_VALUE"""),"TRÄ 01")</f>
        <v>TRÄ 01</v>
      </c>
      <c r="C333" s="5">
        <f>IFERROR(__xludf.DUMMYFUNCTION("""COMPUTED_VALUE"""),6244.0)</f>
        <v>6244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>
        <f>IFERROR(__xludf.DUMMYFUNCTION("""COMPUTED_VALUE"""),3.0)</f>
        <v>3</v>
      </c>
      <c r="O333" s="5"/>
      <c r="P333" s="5"/>
      <c r="Q333" s="5" t="str">
        <f>IFERROR(__xludf.DUMMYFUNCTION("""COMPUTED_VALUE"""),"yes")</f>
        <v>yes</v>
      </c>
      <c r="R333" s="5" t="str">
        <f>IFERROR(__xludf.DUMMYFUNCTION("""COMPUTED_VALUE"""),"HiFi")</f>
        <v>HiFi</v>
      </c>
      <c r="S333" s="5" t="str">
        <f>IFERROR(__xludf.DUMMYFUNCTION("""COMPUTED_VALUE"""),"hifiasm_v0.24.0")</f>
        <v>hifiasm_v0.24.0</v>
      </c>
      <c r="T333" s="6" t="str">
        <f>IFERROR(__xludf.DUMMYFUNCTION("""COMPUTED_VALUE"""),"Individual")</f>
        <v>Individual</v>
      </c>
      <c r="U333" s="6"/>
      <c r="V333" s="6" t="str">
        <f>IFERROR(__xludf.DUMMYFUNCTION("""COMPUTED_VALUE"""),"no")</f>
        <v>no</v>
      </c>
      <c r="W333" s="6" t="str">
        <f>IFERROR(__xludf.DUMMYFUNCTION("""COMPUTED_VALUE"""),"Rabanal")</f>
        <v>Rabanal</v>
      </c>
      <c r="X333" s="5"/>
      <c r="Y333" s="5" t="str">
        <f>IFERROR(__xludf.DUMMYFUNCTION("""COMPUTED_VALUE"""),"unpublished")</f>
        <v>unpublished</v>
      </c>
      <c r="Z333" s="5"/>
      <c r="AA333" s="5"/>
      <c r="AB333" s="5"/>
    </row>
    <row r="334">
      <c r="A334" s="5">
        <f>IFERROR(__xludf.DUMMYFUNCTION("""COMPUTED_VALUE"""),100332.0)</f>
        <v>100332</v>
      </c>
      <c r="B334" s="11">
        <f>IFERROR(__xludf.DUMMYFUNCTION("""COMPUTED_VALUE"""),45427.0)</f>
        <v>45427</v>
      </c>
      <c r="C334" s="5">
        <f>IFERROR(__xludf.DUMMYFUNCTION("""COMPUTED_VALUE"""),22120.0)</f>
        <v>22120</v>
      </c>
      <c r="D334" s="5"/>
      <c r="E334" s="5"/>
      <c r="F334" s="5">
        <f>IFERROR(__xludf.DUMMYFUNCTION("""COMPUTED_VALUE"""),1.0)</f>
        <v>1</v>
      </c>
      <c r="G334" s="5"/>
      <c r="H334" s="5"/>
      <c r="I334" s="5"/>
      <c r="J334" s="5"/>
      <c r="K334" s="5"/>
      <c r="L334" s="5"/>
      <c r="M334" s="5"/>
      <c r="N334" s="5">
        <f>IFERROR(__xludf.DUMMYFUNCTION("""COMPUTED_VALUE"""),43.0)</f>
        <v>43</v>
      </c>
      <c r="O334" s="5"/>
      <c r="P334" s="5"/>
      <c r="Q334" s="5" t="str">
        <f>IFERROR(__xludf.DUMMYFUNCTION("""COMPUTED_VALUE"""),"no")</f>
        <v>no</v>
      </c>
      <c r="R334" s="5" t="str">
        <f>IFERROR(__xludf.DUMMYFUNCTION("""COMPUTED_VALUE"""),"CLR")</f>
        <v>CLR</v>
      </c>
      <c r="S334" s="5" t="str">
        <f>IFERROR(__xludf.DUMMYFUNCTION("""COMPUTED_VALUE"""),"Canu_v1.4")</f>
        <v>Canu_v1.4</v>
      </c>
      <c r="T334" s="6" t="str">
        <f>IFERROR(__xludf.DUMMYFUNCTION("""COMPUTED_VALUE"""),"Did_not_say")</f>
        <v>Did_not_say</v>
      </c>
      <c r="U334" s="6">
        <f>IFERROR(__xludf.DUMMYFUNCTION("""COMPUTED_VALUE"""),2024.0)</f>
        <v>2024</v>
      </c>
      <c r="V334" s="6" t="str">
        <f>IFERROR(__xludf.DUMMYFUNCTION("""COMPUTED_VALUE"""),"yes")</f>
        <v>yes</v>
      </c>
      <c r="W334" s="6" t="str">
        <f>IFERROR(__xludf.DUMMYFUNCTION("""COMPUTED_VALUE"""),"Jiang")</f>
        <v>Jiang</v>
      </c>
      <c r="X334" s="5">
        <f>IFERROR(__xludf.DUMMYFUNCTION("""COMPUTED_VALUE"""),2024.0)</f>
        <v>2024</v>
      </c>
      <c r="Y334" s="5" t="str">
        <f>IFERROR(__xludf.DUMMYFUNCTION("""COMPUTED_VALUE"""),"PlantCell")</f>
        <v>PlantCell</v>
      </c>
      <c r="Z334" s="7" t="str">
        <f>IFERROR(__xludf.DUMMYFUNCTION("""COMPUTED_VALUE"""),"10.1093/plcell/koad296")</f>
        <v>10.1093/plcell/koad296</v>
      </c>
      <c r="AA334" s="7" t="str">
        <f>IFERROR(__xludf.DUMMYFUNCTION("""COMPUTED_VALUE"""),"https://academic.oup.com/plcell/article-abstract/36/4/840/7456361?redirectedFrom=fulltext&amp;login=false")</f>
        <v>https://academic.oup.com/plcell/article-abstract/36/4/840/7456361?redirectedFrom=fulltext&amp;login=false</v>
      </c>
      <c r="AB334" s="5"/>
    </row>
    <row r="335">
      <c r="A335" s="5">
        <f>IFERROR(__xludf.DUMMYFUNCTION("""COMPUTED_VALUE"""),100333.0)</f>
        <v>100333</v>
      </c>
      <c r="B335" s="5" t="str">
        <f>IFERROR(__xludf.DUMMYFUNCTION("""COMPUTED_VALUE"""),"Aitba-2")</f>
        <v>Aitba-2</v>
      </c>
      <c r="C335" s="5">
        <f>IFERROR(__xludf.DUMMYFUNCTION("""COMPUTED_VALUE"""),9939.0)</f>
        <v>9939</v>
      </c>
      <c r="D335" s="5"/>
      <c r="E335" s="5"/>
      <c r="F335" s="5">
        <f>IFERROR(__xludf.DUMMYFUNCTION("""COMPUTED_VALUE"""),1.0)</f>
        <v>1</v>
      </c>
      <c r="G335" s="5"/>
      <c r="H335" s="5"/>
      <c r="I335" s="5"/>
      <c r="J335" s="5" t="str">
        <f>IFERROR(__xludf.DUMMYFUNCTION("""COMPUTED_VALUE"""),"CS76347")</f>
        <v>CS76347</v>
      </c>
      <c r="K335" s="5">
        <f>IFERROR(__xludf.DUMMYFUNCTION("""COMPUTED_VALUE"""),31.48)</f>
        <v>31.48</v>
      </c>
      <c r="L335" s="5">
        <f>IFERROR(__xludf.DUMMYFUNCTION("""COMPUTED_VALUE"""),-7.45)</f>
        <v>-7.45</v>
      </c>
      <c r="M335" s="5"/>
      <c r="N335" s="5">
        <f>IFERROR(__xludf.DUMMYFUNCTION("""COMPUTED_VALUE"""),43.0)</f>
        <v>43</v>
      </c>
      <c r="O335" s="5"/>
      <c r="P335" s="5"/>
      <c r="Q335" s="5" t="str">
        <f>IFERROR(__xludf.DUMMYFUNCTION("""COMPUTED_VALUE"""),"no")</f>
        <v>no</v>
      </c>
      <c r="R335" s="5" t="str">
        <f>IFERROR(__xludf.DUMMYFUNCTION("""COMPUTED_VALUE"""),"ONT")</f>
        <v>ONT</v>
      </c>
      <c r="S335" s="5" t="str">
        <f>IFERROR(__xludf.DUMMYFUNCTION("""COMPUTED_VALUE"""),"flye_v2.9.2")</f>
        <v>flye_v2.9.2</v>
      </c>
      <c r="T335" s="6" t="str">
        <f>IFERROR(__xludf.DUMMYFUNCTION("""COMPUTED_VALUE"""),"Pool???")</f>
        <v>Pool???</v>
      </c>
      <c r="U335" s="6">
        <f>IFERROR(__xludf.DUMMYFUNCTION("""COMPUTED_VALUE"""),2024.0)</f>
        <v>2024</v>
      </c>
      <c r="V335" s="6" t="str">
        <f>IFERROR(__xludf.DUMMYFUNCTION("""COMPUTED_VALUE"""),"yes")</f>
        <v>yes</v>
      </c>
      <c r="W335" s="6" t="str">
        <f>IFERROR(__xludf.DUMMYFUNCTION("""COMPUTED_VALUE"""),"Kileeg")</f>
        <v>Kileeg</v>
      </c>
      <c r="X335" s="5">
        <f>IFERROR(__xludf.DUMMYFUNCTION("""COMPUTED_VALUE"""),2024.0)</f>
        <v>2024</v>
      </c>
      <c r="Y335" s="5" t="str">
        <f>IFERROR(__xludf.DUMMYFUNCTION("""COMPUTED_VALUE"""),"GenomeBiolEvol")</f>
        <v>GenomeBiolEvol</v>
      </c>
      <c r="Z335" s="7" t="str">
        <f>IFERROR(__xludf.DUMMYFUNCTION("""COMPUTED_VALUE"""),"10.1093/gbe/evae169")</f>
        <v>10.1093/gbe/evae169</v>
      </c>
      <c r="AA335" s="7" t="str">
        <f>IFERROR(__xludf.DUMMYFUNCTION("""COMPUTED_VALUE"""),"https://academic.oup.com/gbe/article/16/8/evae169/7727391?login=false")</f>
        <v>https://academic.oup.com/gbe/article/16/8/evae169/7727391?login=false</v>
      </c>
      <c r="AB335" s="5"/>
    </row>
    <row r="336">
      <c r="A336" s="5">
        <f>IFERROR(__xludf.DUMMYFUNCTION("""COMPUTED_VALUE"""),100334.0)</f>
        <v>100334</v>
      </c>
      <c r="B336" s="5" t="str">
        <f>IFERROR(__xludf.DUMMYFUNCTION("""COMPUTED_VALUE"""),"Baa-1")</f>
        <v>Baa-1</v>
      </c>
      <c r="C336" s="5">
        <f>IFERROR(__xludf.DUMMYFUNCTION("""COMPUTED_VALUE"""),7002.0)</f>
        <v>7002</v>
      </c>
      <c r="D336" s="5"/>
      <c r="E336" s="5"/>
      <c r="F336" s="5">
        <f>IFERROR(__xludf.DUMMYFUNCTION("""COMPUTED_VALUE"""),1.0)</f>
        <v>1</v>
      </c>
      <c r="G336" s="5"/>
      <c r="H336" s="5"/>
      <c r="I336" s="5"/>
      <c r="J336" s="5" t="str">
        <f>IFERROR(__xludf.DUMMYFUNCTION("""COMPUTED_VALUE"""),"CS76442")</f>
        <v>CS76442</v>
      </c>
      <c r="K336" s="5">
        <f>IFERROR(__xludf.DUMMYFUNCTION("""COMPUTED_VALUE"""),51.3333)</f>
        <v>51.3333</v>
      </c>
      <c r="L336" s="5">
        <f>IFERROR(__xludf.DUMMYFUNCTION("""COMPUTED_VALUE"""),6.1)</f>
        <v>6.1</v>
      </c>
      <c r="M336" s="5"/>
      <c r="N336" s="5">
        <f>IFERROR(__xludf.DUMMYFUNCTION("""COMPUTED_VALUE"""),42.0)</f>
        <v>42</v>
      </c>
      <c r="O336" s="5"/>
      <c r="P336" s="5"/>
      <c r="Q336" s="5" t="str">
        <f>IFERROR(__xludf.DUMMYFUNCTION("""COMPUTED_VALUE"""),"no")</f>
        <v>no</v>
      </c>
      <c r="R336" s="5" t="str">
        <f>IFERROR(__xludf.DUMMYFUNCTION("""COMPUTED_VALUE"""),"ONT")</f>
        <v>ONT</v>
      </c>
      <c r="S336" s="5" t="str">
        <f>IFERROR(__xludf.DUMMYFUNCTION("""COMPUTED_VALUE"""),"flye_v2.9.2")</f>
        <v>flye_v2.9.2</v>
      </c>
      <c r="T336" s="6" t="str">
        <f>IFERROR(__xludf.DUMMYFUNCTION("""COMPUTED_VALUE"""),"Pool???")</f>
        <v>Pool???</v>
      </c>
      <c r="U336" s="6">
        <f>IFERROR(__xludf.DUMMYFUNCTION("""COMPUTED_VALUE"""),2024.0)</f>
        <v>2024</v>
      </c>
      <c r="V336" s="6" t="str">
        <f>IFERROR(__xludf.DUMMYFUNCTION("""COMPUTED_VALUE"""),"yes")</f>
        <v>yes</v>
      </c>
      <c r="W336" s="6" t="str">
        <f>IFERROR(__xludf.DUMMYFUNCTION("""COMPUTED_VALUE"""),"Kileeg")</f>
        <v>Kileeg</v>
      </c>
      <c r="X336" s="5">
        <f>IFERROR(__xludf.DUMMYFUNCTION("""COMPUTED_VALUE"""),2024.0)</f>
        <v>2024</v>
      </c>
      <c r="Y336" s="5" t="str">
        <f>IFERROR(__xludf.DUMMYFUNCTION("""COMPUTED_VALUE"""),"GenomeBiolEvol")</f>
        <v>GenomeBiolEvol</v>
      </c>
      <c r="Z336" s="7" t="str">
        <f>IFERROR(__xludf.DUMMYFUNCTION("""COMPUTED_VALUE"""),"10.1093/gbe/evae169")</f>
        <v>10.1093/gbe/evae169</v>
      </c>
      <c r="AA336" s="7" t="str">
        <f>IFERROR(__xludf.DUMMYFUNCTION("""COMPUTED_VALUE"""),"https://academic.oup.com/gbe/article/16/8/evae169/7727391?login=false")</f>
        <v>https://academic.oup.com/gbe/article/16/8/evae169/7727391?login=false</v>
      </c>
      <c r="AB336" s="5"/>
    </row>
    <row r="337">
      <c r="A337" s="5">
        <f>IFERROR(__xludf.DUMMYFUNCTION("""COMPUTED_VALUE"""),100335.0)</f>
        <v>100335</v>
      </c>
      <c r="B337" s="5" t="str">
        <f>IFERROR(__xludf.DUMMYFUNCTION("""COMPUTED_VALUE"""),"Con-0")</f>
        <v>Con-0</v>
      </c>
      <c r="C337" s="5">
        <f>IFERROR(__xludf.DUMMYFUNCTION("""COMPUTED_VALUE"""),9837.0)</f>
        <v>9837</v>
      </c>
      <c r="D337" s="5"/>
      <c r="E337" s="5"/>
      <c r="F337" s="5">
        <f>IFERROR(__xludf.DUMMYFUNCTION("""COMPUTED_VALUE"""),1.0)</f>
        <v>1</v>
      </c>
      <c r="G337" s="5"/>
      <c r="H337" s="5"/>
      <c r="I337" s="5"/>
      <c r="J337" s="5" t="str">
        <f>IFERROR(__xludf.DUMMYFUNCTION("""COMPUTED_VALUE"""),"CS76780")</f>
        <v>CS76780</v>
      </c>
      <c r="K337" s="5">
        <f>IFERROR(__xludf.DUMMYFUNCTION("""COMPUTED_VALUE"""),37.94)</f>
        <v>37.94</v>
      </c>
      <c r="L337" s="5">
        <f>IFERROR(__xludf.DUMMYFUNCTION("""COMPUTED_VALUE"""),-5.6)</f>
        <v>-5.6</v>
      </c>
      <c r="M337" s="5"/>
      <c r="N337" s="5">
        <f>IFERROR(__xludf.DUMMYFUNCTION("""COMPUTED_VALUE"""),1.0)</f>
        <v>1</v>
      </c>
      <c r="O337" s="5"/>
      <c r="P337" s="5"/>
      <c r="Q337" s="5" t="str">
        <f>IFERROR(__xludf.DUMMYFUNCTION("""COMPUTED_VALUE"""),"no")</f>
        <v>no</v>
      </c>
      <c r="R337" s="5" t="str">
        <f>IFERROR(__xludf.DUMMYFUNCTION("""COMPUTED_VALUE"""),"ONT")</f>
        <v>ONT</v>
      </c>
      <c r="S337" s="5" t="str">
        <f>IFERROR(__xludf.DUMMYFUNCTION("""COMPUTED_VALUE"""),"flye_v2.9.2")</f>
        <v>flye_v2.9.2</v>
      </c>
      <c r="T337" s="6" t="str">
        <f>IFERROR(__xludf.DUMMYFUNCTION("""COMPUTED_VALUE"""),"Pool???")</f>
        <v>Pool???</v>
      </c>
      <c r="U337" s="6">
        <f>IFERROR(__xludf.DUMMYFUNCTION("""COMPUTED_VALUE"""),2024.0)</f>
        <v>2024</v>
      </c>
      <c r="V337" s="6" t="str">
        <f>IFERROR(__xludf.DUMMYFUNCTION("""COMPUTED_VALUE"""),"yes")</f>
        <v>yes</v>
      </c>
      <c r="W337" s="6" t="str">
        <f>IFERROR(__xludf.DUMMYFUNCTION("""COMPUTED_VALUE"""),"Kileeg")</f>
        <v>Kileeg</v>
      </c>
      <c r="X337" s="5">
        <f>IFERROR(__xludf.DUMMYFUNCTION("""COMPUTED_VALUE"""),2024.0)</f>
        <v>2024</v>
      </c>
      <c r="Y337" s="5" t="str">
        <f>IFERROR(__xludf.DUMMYFUNCTION("""COMPUTED_VALUE"""),"GenomeBiolEvol")</f>
        <v>GenomeBiolEvol</v>
      </c>
      <c r="Z337" s="7" t="str">
        <f>IFERROR(__xludf.DUMMYFUNCTION("""COMPUTED_VALUE"""),"10.1093/gbe/evae169")</f>
        <v>10.1093/gbe/evae169</v>
      </c>
      <c r="AA337" s="7" t="str">
        <f>IFERROR(__xludf.DUMMYFUNCTION("""COMPUTED_VALUE"""),"https://academic.oup.com/gbe/article/16/8/evae169/7727391?login=false")</f>
        <v>https://academic.oup.com/gbe/article/16/8/evae169/7727391?login=false</v>
      </c>
      <c r="AB337" s="5"/>
    </row>
    <row r="338">
      <c r="A338" s="5">
        <f>IFERROR(__xludf.DUMMYFUNCTION("""COMPUTED_VALUE"""),100336.0)</f>
        <v>100336</v>
      </c>
      <c r="B338" s="5" t="str">
        <f>IFERROR(__xludf.DUMMYFUNCTION("""COMPUTED_VALUE"""),"DraIV 6-22")</f>
        <v>DraIV 6-22</v>
      </c>
      <c r="C338" s="5">
        <f>IFERROR(__xludf.DUMMYFUNCTION("""COMPUTED_VALUE"""),5993.0)</f>
        <v>5993</v>
      </c>
      <c r="D338" s="5"/>
      <c r="E338" s="5"/>
      <c r="F338" s="5">
        <f>IFERROR(__xludf.DUMMYFUNCTION("""COMPUTED_VALUE"""),1.0)</f>
        <v>1</v>
      </c>
      <c r="G338" s="5"/>
      <c r="H338" s="5"/>
      <c r="I338" s="5"/>
      <c r="J338" s="5" t="str">
        <f>IFERROR(__xludf.DUMMYFUNCTION("""COMPUTED_VALUE"""),"CS76823")</f>
        <v>CS76823</v>
      </c>
      <c r="K338" s="5">
        <f>IFERROR(__xludf.DUMMYFUNCTION("""COMPUTED_VALUE"""),49.4112)</f>
        <v>49.4112</v>
      </c>
      <c r="L338" s="5">
        <f>IFERROR(__xludf.DUMMYFUNCTION("""COMPUTED_VALUE"""),16.2815)</f>
        <v>16.2815</v>
      </c>
      <c r="M338" s="5"/>
      <c r="N338" s="5">
        <f>IFERROR(__xludf.DUMMYFUNCTION("""COMPUTED_VALUE"""),30.0)</f>
        <v>30</v>
      </c>
      <c r="O338" s="5"/>
      <c r="P338" s="5"/>
      <c r="Q338" s="5" t="str">
        <f>IFERROR(__xludf.DUMMYFUNCTION("""COMPUTED_VALUE"""),"no")</f>
        <v>no</v>
      </c>
      <c r="R338" s="5" t="str">
        <f>IFERROR(__xludf.DUMMYFUNCTION("""COMPUTED_VALUE"""),"ONT")</f>
        <v>ONT</v>
      </c>
      <c r="S338" s="5" t="str">
        <f>IFERROR(__xludf.DUMMYFUNCTION("""COMPUTED_VALUE"""),"flye_v2.9.2")</f>
        <v>flye_v2.9.2</v>
      </c>
      <c r="T338" s="6" t="str">
        <f>IFERROR(__xludf.DUMMYFUNCTION("""COMPUTED_VALUE"""),"Pool???")</f>
        <v>Pool???</v>
      </c>
      <c r="U338" s="6">
        <f>IFERROR(__xludf.DUMMYFUNCTION("""COMPUTED_VALUE"""),2024.0)</f>
        <v>2024</v>
      </c>
      <c r="V338" s="6" t="str">
        <f>IFERROR(__xludf.DUMMYFUNCTION("""COMPUTED_VALUE"""),"yes")</f>
        <v>yes</v>
      </c>
      <c r="W338" s="6" t="str">
        <f>IFERROR(__xludf.DUMMYFUNCTION("""COMPUTED_VALUE"""),"Kileeg")</f>
        <v>Kileeg</v>
      </c>
      <c r="X338" s="5">
        <f>IFERROR(__xludf.DUMMYFUNCTION("""COMPUTED_VALUE"""),2024.0)</f>
        <v>2024</v>
      </c>
      <c r="Y338" s="5" t="str">
        <f>IFERROR(__xludf.DUMMYFUNCTION("""COMPUTED_VALUE"""),"GenomeBiolEvol")</f>
        <v>GenomeBiolEvol</v>
      </c>
      <c r="Z338" s="7" t="str">
        <f>IFERROR(__xludf.DUMMYFUNCTION("""COMPUTED_VALUE"""),"10.1093/gbe/evae169")</f>
        <v>10.1093/gbe/evae169</v>
      </c>
      <c r="AA338" s="7" t="str">
        <f>IFERROR(__xludf.DUMMYFUNCTION("""COMPUTED_VALUE"""),"https://academic.oup.com/gbe/article/16/8/evae169/7727391?login=false")</f>
        <v>https://academic.oup.com/gbe/article/16/8/evae169/7727391?login=false</v>
      </c>
      <c r="AB338" s="5"/>
    </row>
    <row r="339">
      <c r="A339" s="5">
        <f>IFERROR(__xludf.DUMMYFUNCTION("""COMPUTED_VALUE"""),100337.0)</f>
        <v>100337</v>
      </c>
      <c r="B339" s="5" t="str">
        <f>IFERROR(__xludf.DUMMYFUNCTION("""COMPUTED_VALUE"""),"Moj-0")</f>
        <v>Moj-0</v>
      </c>
      <c r="C339" s="5">
        <f>IFERROR(__xludf.DUMMYFUNCTION("""COMPUTED_VALUE"""),9869.0)</f>
        <v>9869</v>
      </c>
      <c r="D339" s="5"/>
      <c r="E339" s="5"/>
      <c r="F339" s="5">
        <f>IFERROR(__xludf.DUMMYFUNCTION("""COMPUTED_VALUE"""),1.0)</f>
        <v>1</v>
      </c>
      <c r="G339" s="5"/>
      <c r="H339" s="5"/>
      <c r="I339" s="5"/>
      <c r="J339" s="5" t="str">
        <f>IFERROR(__xludf.DUMMYFUNCTION("""COMPUTED_VALUE"""),"CS77105")</f>
        <v>CS77105</v>
      </c>
      <c r="K339" s="5">
        <f>IFERROR(__xludf.DUMMYFUNCTION("""COMPUTED_VALUE"""),36.76)</f>
        <v>36.76</v>
      </c>
      <c r="L339" s="5">
        <f>IFERROR(__xludf.DUMMYFUNCTION("""COMPUTED_VALUE"""),-5.28)</f>
        <v>-5.28</v>
      </c>
      <c r="M339" s="5"/>
      <c r="N339" s="5">
        <f>IFERROR(__xludf.DUMMYFUNCTION("""COMPUTED_VALUE"""),5.0)</f>
        <v>5</v>
      </c>
      <c r="O339" s="5"/>
      <c r="P339" s="5"/>
      <c r="Q339" s="5" t="str">
        <f>IFERROR(__xludf.DUMMYFUNCTION("""COMPUTED_VALUE"""),"no")</f>
        <v>no</v>
      </c>
      <c r="R339" s="5" t="str">
        <f>IFERROR(__xludf.DUMMYFUNCTION("""COMPUTED_VALUE"""),"ONT")</f>
        <v>ONT</v>
      </c>
      <c r="S339" s="5" t="str">
        <f>IFERROR(__xludf.DUMMYFUNCTION("""COMPUTED_VALUE"""),"flye_v2.9.2")</f>
        <v>flye_v2.9.2</v>
      </c>
      <c r="T339" s="6" t="str">
        <f>IFERROR(__xludf.DUMMYFUNCTION("""COMPUTED_VALUE"""),"Pool???")</f>
        <v>Pool???</v>
      </c>
      <c r="U339" s="6">
        <f>IFERROR(__xludf.DUMMYFUNCTION("""COMPUTED_VALUE"""),2024.0)</f>
        <v>2024</v>
      </c>
      <c r="V339" s="6" t="str">
        <f>IFERROR(__xludf.DUMMYFUNCTION("""COMPUTED_VALUE"""),"yes")</f>
        <v>yes</v>
      </c>
      <c r="W339" s="6" t="str">
        <f>IFERROR(__xludf.DUMMYFUNCTION("""COMPUTED_VALUE"""),"Kileeg")</f>
        <v>Kileeg</v>
      </c>
      <c r="X339" s="5">
        <f>IFERROR(__xludf.DUMMYFUNCTION("""COMPUTED_VALUE"""),2024.0)</f>
        <v>2024</v>
      </c>
      <c r="Y339" s="5" t="str">
        <f>IFERROR(__xludf.DUMMYFUNCTION("""COMPUTED_VALUE"""),"GenomeBiolEvol")</f>
        <v>GenomeBiolEvol</v>
      </c>
      <c r="Z339" s="7" t="str">
        <f>IFERROR(__xludf.DUMMYFUNCTION("""COMPUTED_VALUE"""),"10.1093/gbe/evae169")</f>
        <v>10.1093/gbe/evae169</v>
      </c>
      <c r="AA339" s="7" t="str">
        <f>IFERROR(__xludf.DUMMYFUNCTION("""COMPUTED_VALUE"""),"https://academic.oup.com/gbe/article/16/8/evae169/7727391?login=false")</f>
        <v>https://academic.oup.com/gbe/article/16/8/evae169/7727391?login=false</v>
      </c>
      <c r="AB339" s="5"/>
    </row>
    <row r="340">
      <c r="A340" s="5">
        <f>IFERROR(__xludf.DUMMYFUNCTION("""COMPUTED_VALUE"""),100338.0)</f>
        <v>100338</v>
      </c>
      <c r="B340" s="5" t="str">
        <f>IFERROR(__xludf.DUMMYFUNCTION("""COMPUTED_VALUE"""),"Mt-0")</f>
        <v>Mt-0</v>
      </c>
      <c r="C340" s="5">
        <f>IFERROR(__xludf.DUMMYFUNCTION("""COMPUTED_VALUE"""),6939.0)</f>
        <v>6939</v>
      </c>
      <c r="D340" s="5"/>
      <c r="E340" s="5"/>
      <c r="F340" s="5">
        <f>IFERROR(__xludf.DUMMYFUNCTION("""COMPUTED_VALUE"""),1.0)</f>
        <v>1</v>
      </c>
      <c r="G340" s="5"/>
      <c r="H340" s="5" t="b">
        <f>IFERROR(__xludf.DUMMYFUNCTION("""COMPUTED_VALUE"""),FALSE)</f>
        <v>0</v>
      </c>
      <c r="I340" s="5"/>
      <c r="J340" s="5" t="str">
        <f>IFERROR(__xludf.DUMMYFUNCTION("""COMPUTED_VALUE"""),"CS1380")</f>
        <v>CS1380</v>
      </c>
      <c r="K340" s="5">
        <f>IFERROR(__xludf.DUMMYFUNCTION("""COMPUTED_VALUE"""),32.34)</f>
        <v>32.34</v>
      </c>
      <c r="L340" s="5">
        <f>IFERROR(__xludf.DUMMYFUNCTION("""COMPUTED_VALUE"""),22.46)</f>
        <v>22.46</v>
      </c>
      <c r="M340" s="5"/>
      <c r="N340" s="5">
        <f>IFERROR(__xludf.DUMMYFUNCTION("""COMPUTED_VALUE"""),13.0)</f>
        <v>13</v>
      </c>
      <c r="O340" s="5"/>
      <c r="P340" s="5"/>
      <c r="Q340" s="5" t="str">
        <f>IFERROR(__xludf.DUMMYFUNCTION("""COMPUTED_VALUE"""),"no")</f>
        <v>no</v>
      </c>
      <c r="R340" s="5" t="str">
        <f>IFERROR(__xludf.DUMMYFUNCTION("""COMPUTED_VALUE"""),"ONT")</f>
        <v>ONT</v>
      </c>
      <c r="S340" s="5" t="str">
        <f>IFERROR(__xludf.DUMMYFUNCTION("""COMPUTED_VALUE"""),"flye_v2.9.2")</f>
        <v>flye_v2.9.2</v>
      </c>
      <c r="T340" s="6" t="str">
        <f>IFERROR(__xludf.DUMMYFUNCTION("""COMPUTED_VALUE"""),"Pool???")</f>
        <v>Pool???</v>
      </c>
      <c r="U340" s="6">
        <f>IFERROR(__xludf.DUMMYFUNCTION("""COMPUTED_VALUE"""),2024.0)</f>
        <v>2024</v>
      </c>
      <c r="V340" s="6" t="str">
        <f>IFERROR(__xludf.DUMMYFUNCTION("""COMPUTED_VALUE"""),"yes")</f>
        <v>yes</v>
      </c>
      <c r="W340" s="6" t="str">
        <f>IFERROR(__xludf.DUMMYFUNCTION("""COMPUTED_VALUE"""),"Kileeg")</f>
        <v>Kileeg</v>
      </c>
      <c r="X340" s="5">
        <f>IFERROR(__xludf.DUMMYFUNCTION("""COMPUTED_VALUE"""),2024.0)</f>
        <v>2024</v>
      </c>
      <c r="Y340" s="5" t="str">
        <f>IFERROR(__xludf.DUMMYFUNCTION("""COMPUTED_VALUE"""),"GenomeBiolEvol")</f>
        <v>GenomeBiolEvol</v>
      </c>
      <c r="Z340" s="7" t="str">
        <f>IFERROR(__xludf.DUMMYFUNCTION("""COMPUTED_VALUE"""),"10.1093/gbe/evae169")</f>
        <v>10.1093/gbe/evae169</v>
      </c>
      <c r="AA340" s="7" t="str">
        <f>IFERROR(__xludf.DUMMYFUNCTION("""COMPUTED_VALUE"""),"https://academic.oup.com/gbe/article/16/8/evae169/7727391?login=false")</f>
        <v>https://academic.oup.com/gbe/article/16/8/evae169/7727391?login=false</v>
      </c>
      <c r="AB340" s="5"/>
    </row>
    <row r="341">
      <c r="A341" s="5">
        <f>IFERROR(__xludf.DUMMYFUNCTION("""COMPUTED_VALUE"""),100339.0)</f>
        <v>100339</v>
      </c>
      <c r="B341" s="5" t="str">
        <f>IFERROR(__xludf.DUMMYFUNCTION("""COMPUTED_VALUE"""),"Ped-0")</f>
        <v>Ped-0</v>
      </c>
      <c r="C341" s="5">
        <f>IFERROR(__xludf.DUMMYFUNCTION("""COMPUTED_VALUE"""),9947.0)</f>
        <v>9947</v>
      </c>
      <c r="D341" s="5"/>
      <c r="E341" s="5"/>
      <c r="F341" s="5">
        <f>IFERROR(__xludf.DUMMYFUNCTION("""COMPUTED_VALUE"""),1.0)</f>
        <v>1</v>
      </c>
      <c r="G341" s="5"/>
      <c r="H341" s="5"/>
      <c r="I341" s="5"/>
      <c r="J341" s="5" t="str">
        <f>IFERROR(__xludf.DUMMYFUNCTION("""COMPUTED_VALUE"""),"CS76415")</f>
        <v>CS76415</v>
      </c>
      <c r="K341" s="5">
        <f>IFERROR(__xludf.DUMMYFUNCTION("""COMPUTED_VALUE"""),40.74)</f>
        <v>40.74</v>
      </c>
      <c r="L341" s="5">
        <f>IFERROR(__xludf.DUMMYFUNCTION("""COMPUTED_VALUE"""),-3.9)</f>
        <v>-3.9</v>
      </c>
      <c r="M341" s="5"/>
      <c r="N341" s="5">
        <f>IFERROR(__xludf.DUMMYFUNCTION("""COMPUTED_VALUE"""),46.0)</f>
        <v>46</v>
      </c>
      <c r="O341" s="5"/>
      <c r="P341" s="5"/>
      <c r="Q341" s="5" t="str">
        <f>IFERROR(__xludf.DUMMYFUNCTION("""COMPUTED_VALUE"""),"no")</f>
        <v>no</v>
      </c>
      <c r="R341" s="5" t="str">
        <f>IFERROR(__xludf.DUMMYFUNCTION("""COMPUTED_VALUE"""),"ONT")</f>
        <v>ONT</v>
      </c>
      <c r="S341" s="5" t="str">
        <f>IFERROR(__xludf.DUMMYFUNCTION("""COMPUTED_VALUE"""),"flye_v2.9.2")</f>
        <v>flye_v2.9.2</v>
      </c>
      <c r="T341" s="6" t="str">
        <f>IFERROR(__xludf.DUMMYFUNCTION("""COMPUTED_VALUE"""),"Pool???")</f>
        <v>Pool???</v>
      </c>
      <c r="U341" s="6">
        <f>IFERROR(__xludf.DUMMYFUNCTION("""COMPUTED_VALUE"""),2024.0)</f>
        <v>2024</v>
      </c>
      <c r="V341" s="6" t="str">
        <f>IFERROR(__xludf.DUMMYFUNCTION("""COMPUTED_VALUE"""),"yes")</f>
        <v>yes</v>
      </c>
      <c r="W341" s="6" t="str">
        <f>IFERROR(__xludf.DUMMYFUNCTION("""COMPUTED_VALUE"""),"Kileeg")</f>
        <v>Kileeg</v>
      </c>
      <c r="X341" s="5">
        <f>IFERROR(__xludf.DUMMYFUNCTION("""COMPUTED_VALUE"""),2024.0)</f>
        <v>2024</v>
      </c>
      <c r="Y341" s="5" t="str">
        <f>IFERROR(__xludf.DUMMYFUNCTION("""COMPUTED_VALUE"""),"GenomeBiolEvol")</f>
        <v>GenomeBiolEvol</v>
      </c>
      <c r="Z341" s="7" t="str">
        <f>IFERROR(__xludf.DUMMYFUNCTION("""COMPUTED_VALUE"""),"10.1093/gbe/evae169")</f>
        <v>10.1093/gbe/evae169</v>
      </c>
      <c r="AA341" s="7" t="str">
        <f>IFERROR(__xludf.DUMMYFUNCTION("""COMPUTED_VALUE"""),"https://academic.oup.com/gbe/article/16/8/evae169/7727391?login=false")</f>
        <v>https://academic.oup.com/gbe/article/16/8/evae169/7727391?login=false</v>
      </c>
      <c r="AB341" s="5"/>
    </row>
    <row r="342">
      <c r="A342" s="5">
        <f>IFERROR(__xludf.DUMMYFUNCTION("""COMPUTED_VALUE"""),100340.0)</f>
        <v>100340</v>
      </c>
      <c r="B342" s="5" t="str">
        <f>IFERROR(__xludf.DUMMYFUNCTION("""COMPUTED_VALUE"""),"Yeg-8")</f>
        <v>Yeg-8</v>
      </c>
      <c r="C342" s="5">
        <f>IFERROR(__xludf.DUMMYFUNCTION("""COMPUTED_VALUE"""),9134.0)</f>
        <v>9134</v>
      </c>
      <c r="D342" s="5"/>
      <c r="E342" s="5"/>
      <c r="F342" s="5">
        <f>IFERROR(__xludf.DUMMYFUNCTION("""COMPUTED_VALUE"""),1.0)</f>
        <v>1</v>
      </c>
      <c r="G342" s="5"/>
      <c r="H342" s="5"/>
      <c r="I342" s="5"/>
      <c r="J342" s="5" t="str">
        <f>IFERROR(__xludf.DUMMYFUNCTION("""COMPUTED_VALUE"""),"CS78868")</f>
        <v>CS78868</v>
      </c>
      <c r="K342" s="5">
        <f>IFERROR(__xludf.DUMMYFUNCTION("""COMPUTED_VALUE"""),39.8692)</f>
        <v>39.8692</v>
      </c>
      <c r="L342" s="5">
        <f>IFERROR(__xludf.DUMMYFUNCTION("""COMPUTED_VALUE"""),45.3622)</f>
        <v>45.3622</v>
      </c>
      <c r="M342" s="5"/>
      <c r="N342" s="5">
        <f>IFERROR(__xludf.DUMMYFUNCTION("""COMPUTED_VALUE"""),4.0)</f>
        <v>4</v>
      </c>
      <c r="O342" s="5"/>
      <c r="P342" s="5"/>
      <c r="Q342" s="5" t="str">
        <f>IFERROR(__xludf.DUMMYFUNCTION("""COMPUTED_VALUE"""),"no")</f>
        <v>no</v>
      </c>
      <c r="R342" s="5" t="str">
        <f>IFERROR(__xludf.DUMMYFUNCTION("""COMPUTED_VALUE"""),"ONT")</f>
        <v>ONT</v>
      </c>
      <c r="S342" s="5" t="str">
        <f>IFERROR(__xludf.DUMMYFUNCTION("""COMPUTED_VALUE"""),"flye_v2.9.2")</f>
        <v>flye_v2.9.2</v>
      </c>
      <c r="T342" s="6" t="str">
        <f>IFERROR(__xludf.DUMMYFUNCTION("""COMPUTED_VALUE"""),"Pool???")</f>
        <v>Pool???</v>
      </c>
      <c r="U342" s="6">
        <f>IFERROR(__xludf.DUMMYFUNCTION("""COMPUTED_VALUE"""),2024.0)</f>
        <v>2024</v>
      </c>
      <c r="V342" s="6" t="str">
        <f>IFERROR(__xludf.DUMMYFUNCTION("""COMPUTED_VALUE"""),"yes")</f>
        <v>yes</v>
      </c>
      <c r="W342" s="6" t="str">
        <f>IFERROR(__xludf.DUMMYFUNCTION("""COMPUTED_VALUE"""),"Kileeg")</f>
        <v>Kileeg</v>
      </c>
      <c r="X342" s="5">
        <f>IFERROR(__xludf.DUMMYFUNCTION("""COMPUTED_VALUE"""),2024.0)</f>
        <v>2024</v>
      </c>
      <c r="Y342" s="5" t="str">
        <f>IFERROR(__xludf.DUMMYFUNCTION("""COMPUTED_VALUE"""),"GenomeBiolEvol")</f>
        <v>GenomeBiolEvol</v>
      </c>
      <c r="Z342" s="7" t="str">
        <f>IFERROR(__xludf.DUMMYFUNCTION("""COMPUTED_VALUE"""),"10.1093/gbe/evae169")</f>
        <v>10.1093/gbe/evae169</v>
      </c>
      <c r="AA342" s="7" t="str">
        <f>IFERROR(__xludf.DUMMYFUNCTION("""COMPUTED_VALUE"""),"https://academic.oup.com/gbe/article/16/8/evae169/7727391?login=false")</f>
        <v>https://academic.oup.com/gbe/article/16/8/evae169/7727391?login=false</v>
      </c>
      <c r="AB342" s="5"/>
    </row>
    <row r="343">
      <c r="A343" s="5">
        <f>IFERROR(__xludf.DUMMYFUNCTION("""COMPUTED_VALUE"""),100341.0)</f>
        <v>100341</v>
      </c>
      <c r="B343" s="5" t="str">
        <f>IFERROR(__xludf.DUMMYFUNCTION("""COMPUTED_VALUE"""),"Anz-0")</f>
        <v>Anz-0</v>
      </c>
      <c r="C343" s="5">
        <f>IFERROR(__xludf.DUMMYFUNCTION("""COMPUTED_VALUE"""),9759.0)</f>
        <v>9759</v>
      </c>
      <c r="D343" s="5"/>
      <c r="E343" s="5"/>
      <c r="F343" s="5">
        <f>IFERROR(__xludf.DUMMYFUNCTION("""COMPUTED_VALUE"""),1.0)</f>
        <v>1</v>
      </c>
      <c r="G343" s="5"/>
      <c r="H343" s="5"/>
      <c r="I343" s="5"/>
      <c r="J343" s="5" t="str">
        <f>IFERROR(__xludf.DUMMYFUNCTION("""COMPUTED_VALUE"""),"CS76439")</f>
        <v>CS76439</v>
      </c>
      <c r="K343" s="5" t="str">
        <f>IFERROR(__xludf.DUMMYFUNCTION("""COMPUTED_VALUE"""),"37.47")</f>
        <v>37.47</v>
      </c>
      <c r="L343" s="5" t="str">
        <f>IFERROR(__xludf.DUMMYFUNCTION("""COMPUTED_VALUE"""),"49.47")</f>
        <v>49.47</v>
      </c>
      <c r="M343" s="5"/>
      <c r="N343" s="5">
        <f>IFERROR(__xludf.DUMMYFUNCTION("""COMPUTED_VALUE"""),13.0)</f>
        <v>13</v>
      </c>
      <c r="O343" s="5"/>
      <c r="P343" s="5"/>
      <c r="Q343" s="5" t="str">
        <f>IFERROR(__xludf.DUMMYFUNCTION("""COMPUTED_VALUE"""),"no")</f>
        <v>no</v>
      </c>
      <c r="R343" s="5" t="str">
        <f>IFERROR(__xludf.DUMMYFUNCTION("""COMPUTED_VALUE"""),"ONT")</f>
        <v>ONT</v>
      </c>
      <c r="S343" s="5" t="str">
        <f>IFERROR(__xludf.DUMMYFUNCTION("""COMPUTED_VALUE"""),"Flye_v2.9-b1768")</f>
        <v>Flye_v2.9-b1768</v>
      </c>
      <c r="T343" s="6"/>
      <c r="U343" s="6">
        <f>IFERROR(__xludf.DUMMYFUNCTION("""COMPUTED_VALUE"""),2024.0)</f>
        <v>2024</v>
      </c>
      <c r="V343" s="6" t="str">
        <f>IFERROR(__xludf.DUMMYFUNCTION("""COMPUTED_VALUE"""),"under review")</f>
        <v>under review</v>
      </c>
      <c r="W343" s="6" t="str">
        <f>IFERROR(__xludf.DUMMYFUNCTION("""COMPUTED_VALUE"""),"Baduel")</f>
        <v>Baduel</v>
      </c>
      <c r="X343" s="5"/>
      <c r="Y343" s="5" t="str">
        <f>IFERROR(__xludf.DUMMYFUNCTION("""COMPUTED_VALUE"""),"under review")</f>
        <v>under review</v>
      </c>
      <c r="Z343" s="5"/>
      <c r="AA343" s="5"/>
      <c r="AB343" s="5"/>
    </row>
    <row r="344">
      <c r="A344" s="5">
        <f>IFERROR(__xludf.DUMMYFUNCTION("""COMPUTED_VALUE"""),100342.0)</f>
        <v>100342</v>
      </c>
      <c r="B344" s="5" t="str">
        <f>IFERROR(__xludf.DUMMYFUNCTION("""COMPUTED_VALUE"""),"BÃ5-1")</f>
        <v>BÃ5-1</v>
      </c>
      <c r="C344" s="5">
        <f>IFERROR(__xludf.DUMMYFUNCTION("""COMPUTED_VALUE"""),8259.0)</f>
        <v>8259</v>
      </c>
      <c r="D344" s="5"/>
      <c r="E344" s="5"/>
      <c r="F344" s="5">
        <f>IFERROR(__xludf.DUMMYFUNCTION("""COMPUTED_VALUE"""),1.0)</f>
        <v>1</v>
      </c>
      <c r="G344" s="5"/>
      <c r="H344" s="5"/>
      <c r="I344" s="5"/>
      <c r="J344" s="5" t="str">
        <f>IFERROR(__xludf.DUMMYFUNCTION("""COMPUTED_VALUE"""),"CS76678")</f>
        <v>CS76678</v>
      </c>
      <c r="K344" s="5" t="str">
        <f>IFERROR(__xludf.DUMMYFUNCTION("""COMPUTED_VALUE"""),"56.4")</f>
        <v>56.4</v>
      </c>
      <c r="L344" s="12">
        <f>IFERROR(__xludf.DUMMYFUNCTION("""COMPUTED_VALUE"""),45547.0)</f>
        <v>45547</v>
      </c>
      <c r="M344" s="5"/>
      <c r="N344" s="5">
        <f>IFERROR(__xludf.DUMMYFUNCTION("""COMPUTED_VALUE"""),12.0)</f>
        <v>12</v>
      </c>
      <c r="O344" s="5"/>
      <c r="P344" s="5"/>
      <c r="Q344" s="5" t="str">
        <f>IFERROR(__xludf.DUMMYFUNCTION("""COMPUTED_VALUE"""),"no")</f>
        <v>no</v>
      </c>
      <c r="R344" s="5" t="str">
        <f>IFERROR(__xludf.DUMMYFUNCTION("""COMPUTED_VALUE"""),"ONT")</f>
        <v>ONT</v>
      </c>
      <c r="S344" s="5" t="str">
        <f>IFERROR(__xludf.DUMMYFUNCTION("""COMPUTED_VALUE"""),"Flye_v2.9-b1768")</f>
        <v>Flye_v2.9-b1768</v>
      </c>
      <c r="T344" s="6"/>
      <c r="U344" s="6">
        <f>IFERROR(__xludf.DUMMYFUNCTION("""COMPUTED_VALUE"""),2024.0)</f>
        <v>2024</v>
      </c>
      <c r="V344" s="6" t="str">
        <f>IFERROR(__xludf.DUMMYFUNCTION("""COMPUTED_VALUE"""),"under review")</f>
        <v>under review</v>
      </c>
      <c r="W344" s="6" t="str">
        <f>IFERROR(__xludf.DUMMYFUNCTION("""COMPUTED_VALUE"""),"Baduel")</f>
        <v>Baduel</v>
      </c>
      <c r="X344" s="5"/>
      <c r="Y344" s="5" t="str">
        <f>IFERROR(__xludf.DUMMYFUNCTION("""COMPUTED_VALUE"""),"under review")</f>
        <v>under review</v>
      </c>
      <c r="Z344" s="5"/>
      <c r="AA344" s="5"/>
      <c r="AB344" s="5"/>
    </row>
    <row r="345">
      <c r="A345" s="5">
        <f>IFERROR(__xludf.DUMMYFUNCTION("""COMPUTED_VALUE"""),100343.0)</f>
        <v>100343</v>
      </c>
      <c r="B345" s="5" t="str">
        <f>IFERROR(__xludf.DUMMYFUNCTION("""COMPUTED_VALUE"""),"Cvi-0")</f>
        <v>Cvi-0</v>
      </c>
      <c r="C345" s="5">
        <f>IFERROR(__xludf.DUMMYFUNCTION("""COMPUTED_VALUE"""),6911.0)</f>
        <v>6911</v>
      </c>
      <c r="D345" s="5"/>
      <c r="E345" s="5"/>
      <c r="F345" s="5">
        <f>IFERROR(__xludf.DUMMYFUNCTION("""COMPUTED_VALUE"""),1.0)</f>
        <v>1</v>
      </c>
      <c r="G345" s="5"/>
      <c r="H345" s="5"/>
      <c r="I345" s="5"/>
      <c r="J345" s="5" t="str">
        <f>IFERROR(__xludf.DUMMYFUNCTION("""COMPUTED_VALUE"""),"CS76789")</f>
        <v>CS76789</v>
      </c>
      <c r="K345" s="5" t="str">
        <f>IFERROR(__xludf.DUMMYFUNCTION("""COMPUTED_VALUE"""),"15.1111")</f>
        <v>15.1111</v>
      </c>
      <c r="L345" s="5" t="str">
        <f>IFERROR(__xludf.DUMMYFUNCTION("""COMPUTED_VALUE"""),"-23.6167")</f>
        <v>-23.6167</v>
      </c>
      <c r="M345" s="5"/>
      <c r="N345" s="5">
        <f>IFERROR(__xludf.DUMMYFUNCTION("""COMPUTED_VALUE"""),14.0)</f>
        <v>14</v>
      </c>
      <c r="O345" s="5"/>
      <c r="P345" s="5"/>
      <c r="Q345" s="5" t="str">
        <f>IFERROR(__xludf.DUMMYFUNCTION("""COMPUTED_VALUE"""),"no")</f>
        <v>no</v>
      </c>
      <c r="R345" s="5" t="str">
        <f>IFERROR(__xludf.DUMMYFUNCTION("""COMPUTED_VALUE"""),"ONT")</f>
        <v>ONT</v>
      </c>
      <c r="S345" s="5" t="str">
        <f>IFERROR(__xludf.DUMMYFUNCTION("""COMPUTED_VALUE"""),"Flye_v2.9-b1768")</f>
        <v>Flye_v2.9-b1768</v>
      </c>
      <c r="T345" s="6"/>
      <c r="U345" s="6">
        <f>IFERROR(__xludf.DUMMYFUNCTION("""COMPUTED_VALUE"""),2024.0)</f>
        <v>2024</v>
      </c>
      <c r="V345" s="6" t="str">
        <f>IFERROR(__xludf.DUMMYFUNCTION("""COMPUTED_VALUE"""),"under review")</f>
        <v>under review</v>
      </c>
      <c r="W345" s="6" t="str">
        <f>IFERROR(__xludf.DUMMYFUNCTION("""COMPUTED_VALUE"""),"Baduel")</f>
        <v>Baduel</v>
      </c>
      <c r="X345" s="5"/>
      <c r="Y345" s="5" t="str">
        <f>IFERROR(__xludf.DUMMYFUNCTION("""COMPUTED_VALUE"""),"under review")</f>
        <v>under review</v>
      </c>
      <c r="Z345" s="5"/>
      <c r="AA345" s="5"/>
      <c r="AB345" s="5"/>
    </row>
    <row r="346">
      <c r="A346" s="5">
        <f>IFERROR(__xludf.DUMMYFUNCTION("""COMPUTED_VALUE"""),100344.0)</f>
        <v>100344</v>
      </c>
      <c r="B346" s="5" t="str">
        <f>IFERROR(__xludf.DUMMYFUNCTION("""COMPUTED_VALUE"""),"Dolna-1-10")</f>
        <v>Dolna-1-10</v>
      </c>
      <c r="C346" s="5">
        <f>IFERROR(__xludf.DUMMYFUNCTION("""COMPUTED_VALUE"""),9700.0)</f>
        <v>9700</v>
      </c>
      <c r="D346" s="5"/>
      <c r="E346" s="5"/>
      <c r="F346" s="5">
        <f>IFERROR(__xludf.DUMMYFUNCTION("""COMPUTED_VALUE"""),1.0)</f>
        <v>1</v>
      </c>
      <c r="G346" s="5"/>
      <c r="H346" s="5"/>
      <c r="I346" s="5"/>
      <c r="J346" s="5" t="str">
        <f>IFERROR(__xludf.DUMMYFUNCTION("""COMPUTED_VALUE"""),"CS76803")</f>
        <v>CS76803</v>
      </c>
      <c r="K346" s="5" t="str">
        <f>IFERROR(__xludf.DUMMYFUNCTION("""COMPUTED_VALUE"""),"42.32")</f>
        <v>42.32</v>
      </c>
      <c r="L346" s="12">
        <f>IFERROR(__xludf.DUMMYFUNCTION("""COMPUTED_VALUE"""),45314.0)</f>
        <v>45314</v>
      </c>
      <c r="M346" s="5"/>
      <c r="N346" s="5">
        <f>IFERROR(__xludf.DUMMYFUNCTION("""COMPUTED_VALUE"""),9.0)</f>
        <v>9</v>
      </c>
      <c r="O346" s="5"/>
      <c r="P346" s="5"/>
      <c r="Q346" s="5" t="str">
        <f>IFERROR(__xludf.DUMMYFUNCTION("""COMPUTED_VALUE"""),"no")</f>
        <v>no</v>
      </c>
      <c r="R346" s="5" t="str">
        <f>IFERROR(__xludf.DUMMYFUNCTION("""COMPUTED_VALUE"""),"ONT")</f>
        <v>ONT</v>
      </c>
      <c r="S346" s="5" t="str">
        <f>IFERROR(__xludf.DUMMYFUNCTION("""COMPUTED_VALUE"""),"Flye_v2.9-b1768")</f>
        <v>Flye_v2.9-b1768</v>
      </c>
      <c r="T346" s="6"/>
      <c r="U346" s="6">
        <f>IFERROR(__xludf.DUMMYFUNCTION("""COMPUTED_VALUE"""),2024.0)</f>
        <v>2024</v>
      </c>
      <c r="V346" s="6" t="str">
        <f>IFERROR(__xludf.DUMMYFUNCTION("""COMPUTED_VALUE"""),"under review")</f>
        <v>under review</v>
      </c>
      <c r="W346" s="6" t="str">
        <f>IFERROR(__xludf.DUMMYFUNCTION("""COMPUTED_VALUE"""),"Baduel")</f>
        <v>Baduel</v>
      </c>
      <c r="X346" s="5"/>
      <c r="Y346" s="5" t="str">
        <f>IFERROR(__xludf.DUMMYFUNCTION("""COMPUTED_VALUE"""),"under review")</f>
        <v>under review</v>
      </c>
      <c r="Z346" s="5"/>
      <c r="AA346" s="5"/>
      <c r="AB346" s="5"/>
    </row>
    <row r="347">
      <c r="A347" s="5">
        <f>IFERROR(__xludf.DUMMYFUNCTION("""COMPUTED_VALUE"""),100345.0)</f>
        <v>100345</v>
      </c>
      <c r="B347" s="5" t="str">
        <f>IFERROR(__xludf.DUMMYFUNCTION("""COMPUTED_VALUE"""),"Eden-1")</f>
        <v>Eden-1</v>
      </c>
      <c r="C347" s="5">
        <f>IFERROR(__xludf.DUMMYFUNCTION("""COMPUTED_VALUE"""),6009.0)</f>
        <v>6009</v>
      </c>
      <c r="D347" s="5"/>
      <c r="E347" s="5"/>
      <c r="F347" s="5">
        <f>IFERROR(__xludf.DUMMYFUNCTION("""COMPUTED_VALUE"""),1.0)</f>
        <v>1</v>
      </c>
      <c r="G347" s="5"/>
      <c r="H347" s="5"/>
      <c r="I347" s="5"/>
      <c r="J347" s="5" t="str">
        <f>IFERROR(__xludf.DUMMYFUNCTION("""COMPUTED_VALUE"""),"CS76826")</f>
        <v>CS76826</v>
      </c>
      <c r="K347" s="5" t="str">
        <f>IFERROR(__xludf.DUMMYFUNCTION("""COMPUTED_VALUE"""),"62.877")</f>
        <v>62.877</v>
      </c>
      <c r="L347" s="5" t="str">
        <f>IFERROR(__xludf.DUMMYFUNCTION("""COMPUTED_VALUE"""),"18.177")</f>
        <v>18.177</v>
      </c>
      <c r="M347" s="5"/>
      <c r="N347" s="5">
        <f>IFERROR(__xludf.DUMMYFUNCTION("""COMPUTED_VALUE"""),19.0)</f>
        <v>19</v>
      </c>
      <c r="O347" s="5"/>
      <c r="P347" s="5"/>
      <c r="Q347" s="5" t="str">
        <f>IFERROR(__xludf.DUMMYFUNCTION("""COMPUTED_VALUE"""),"no")</f>
        <v>no</v>
      </c>
      <c r="R347" s="5" t="str">
        <f>IFERROR(__xludf.DUMMYFUNCTION("""COMPUTED_VALUE"""),"ONT")</f>
        <v>ONT</v>
      </c>
      <c r="S347" s="5" t="str">
        <f>IFERROR(__xludf.DUMMYFUNCTION("""COMPUTED_VALUE"""),"Flye_v2.9-b1768")</f>
        <v>Flye_v2.9-b1768</v>
      </c>
      <c r="T347" s="6"/>
      <c r="U347" s="6">
        <f>IFERROR(__xludf.DUMMYFUNCTION("""COMPUTED_VALUE"""),2024.0)</f>
        <v>2024</v>
      </c>
      <c r="V347" s="6" t="str">
        <f>IFERROR(__xludf.DUMMYFUNCTION("""COMPUTED_VALUE"""),"under review")</f>
        <v>under review</v>
      </c>
      <c r="W347" s="6" t="str">
        <f>IFERROR(__xludf.DUMMYFUNCTION("""COMPUTED_VALUE"""),"Baduel")</f>
        <v>Baduel</v>
      </c>
      <c r="X347" s="5"/>
      <c r="Y347" s="5" t="str">
        <f>IFERROR(__xludf.DUMMYFUNCTION("""COMPUTED_VALUE"""),"under review")</f>
        <v>under review</v>
      </c>
      <c r="Z347" s="5"/>
      <c r="AA347" s="5"/>
      <c r="AB347" s="5"/>
    </row>
    <row r="348">
      <c r="A348" s="5">
        <f>IFERROR(__xludf.DUMMYFUNCTION("""COMPUTED_VALUE"""),100346.0)</f>
        <v>100346</v>
      </c>
      <c r="B348" s="5" t="str">
        <f>IFERROR(__xludf.DUMMYFUNCTION("""COMPUTED_VALUE"""),"En-D")</f>
        <v>En-D</v>
      </c>
      <c r="C348" s="5">
        <f>IFERROR(__xludf.DUMMYFUNCTION("""COMPUTED_VALUE"""),7120.0)</f>
        <v>7120</v>
      </c>
      <c r="D348" s="5"/>
      <c r="E348" s="5"/>
      <c r="F348" s="5">
        <f>IFERROR(__xludf.DUMMYFUNCTION("""COMPUTED_VALUE"""),1.0)</f>
        <v>1</v>
      </c>
      <c r="G348" s="5"/>
      <c r="H348" s="5"/>
      <c r="I348" s="5"/>
      <c r="J348" s="5" t="str">
        <f>IFERROR(__xludf.DUMMYFUNCTION("""COMPUTED_VALUE"""),"CS76482")</f>
        <v>CS76482</v>
      </c>
      <c r="K348" s="5">
        <f>IFERROR(__xludf.DUMMYFUNCTION("""COMPUTED_VALUE"""),50.0)</f>
        <v>50</v>
      </c>
      <c r="L348" s="12">
        <f>IFERROR(__xludf.DUMMYFUNCTION("""COMPUTED_VALUE"""),45420.0)</f>
        <v>45420</v>
      </c>
      <c r="M348" s="5"/>
      <c r="N348" s="5">
        <f>IFERROR(__xludf.DUMMYFUNCTION("""COMPUTED_VALUE"""),19.0)</f>
        <v>19</v>
      </c>
      <c r="O348" s="5"/>
      <c r="P348" s="5"/>
      <c r="Q348" s="5" t="str">
        <f>IFERROR(__xludf.DUMMYFUNCTION("""COMPUTED_VALUE"""),"no")</f>
        <v>no</v>
      </c>
      <c r="R348" s="5" t="str">
        <f>IFERROR(__xludf.DUMMYFUNCTION("""COMPUTED_VALUE"""),"ONT")</f>
        <v>ONT</v>
      </c>
      <c r="S348" s="5" t="str">
        <f>IFERROR(__xludf.DUMMYFUNCTION("""COMPUTED_VALUE"""),"Flye_v2.9-b1768")</f>
        <v>Flye_v2.9-b1768</v>
      </c>
      <c r="T348" s="6"/>
      <c r="U348" s="6">
        <f>IFERROR(__xludf.DUMMYFUNCTION("""COMPUTED_VALUE"""),2024.0)</f>
        <v>2024</v>
      </c>
      <c r="V348" s="6" t="str">
        <f>IFERROR(__xludf.DUMMYFUNCTION("""COMPUTED_VALUE"""),"under review")</f>
        <v>under review</v>
      </c>
      <c r="W348" s="6" t="str">
        <f>IFERROR(__xludf.DUMMYFUNCTION("""COMPUTED_VALUE"""),"Baduel")</f>
        <v>Baduel</v>
      </c>
      <c r="X348" s="5"/>
      <c r="Y348" s="5" t="str">
        <f>IFERROR(__xludf.DUMMYFUNCTION("""COMPUTED_VALUE"""),"under review")</f>
        <v>under review</v>
      </c>
      <c r="Z348" s="5"/>
      <c r="AA348" s="5"/>
      <c r="AB348" s="5"/>
    </row>
    <row r="349">
      <c r="A349" s="5">
        <f>IFERROR(__xludf.DUMMYFUNCTION("""COMPUTED_VALUE"""),100347.0)</f>
        <v>100347</v>
      </c>
      <c r="B349" s="5" t="str">
        <f>IFERROR(__xludf.DUMMYFUNCTION("""COMPUTED_VALUE"""),"Esp1-11")</f>
        <v>Esp1-11</v>
      </c>
      <c r="C349" s="5">
        <f>IFERROR(__xludf.DUMMYFUNCTION("""COMPUTED_VALUE"""),9908.0)</f>
        <v>9908</v>
      </c>
      <c r="D349" s="5"/>
      <c r="E349" s="5"/>
      <c r="F349" s="5">
        <f>IFERROR(__xludf.DUMMYFUNCTION("""COMPUTED_VALUE"""),1.0)</f>
        <v>1</v>
      </c>
      <c r="G349" s="5"/>
      <c r="H349" s="5"/>
      <c r="I349" s="5"/>
      <c r="J349" s="5" t="str">
        <f>IFERROR(__xludf.DUMMYFUNCTION("""COMPUTED_VALUE"""),"CS76847")</f>
        <v>CS76847</v>
      </c>
      <c r="K349" s="5" t="str">
        <f>IFERROR(__xludf.DUMMYFUNCTION("""COMPUTED_VALUE"""),"50.72")</f>
        <v>50.72</v>
      </c>
      <c r="L349" s="5" t="str">
        <f>IFERROR(__xludf.DUMMYFUNCTION("""COMPUTED_VALUE"""),"3.47")</f>
        <v>3.47</v>
      </c>
      <c r="M349" s="5"/>
      <c r="N349" s="5">
        <f>IFERROR(__xludf.DUMMYFUNCTION("""COMPUTED_VALUE"""),10.0)</f>
        <v>10</v>
      </c>
      <c r="O349" s="5"/>
      <c r="P349" s="5"/>
      <c r="Q349" s="5" t="str">
        <f>IFERROR(__xludf.DUMMYFUNCTION("""COMPUTED_VALUE"""),"no")</f>
        <v>no</v>
      </c>
      <c r="R349" s="5" t="str">
        <f>IFERROR(__xludf.DUMMYFUNCTION("""COMPUTED_VALUE"""),"ONT")</f>
        <v>ONT</v>
      </c>
      <c r="S349" s="5" t="str">
        <f>IFERROR(__xludf.DUMMYFUNCTION("""COMPUTED_VALUE"""),"Flye_v2.9-b1768")</f>
        <v>Flye_v2.9-b1768</v>
      </c>
      <c r="T349" s="6"/>
      <c r="U349" s="6">
        <f>IFERROR(__xludf.DUMMYFUNCTION("""COMPUTED_VALUE"""),2024.0)</f>
        <v>2024</v>
      </c>
      <c r="V349" s="6" t="str">
        <f>IFERROR(__xludf.DUMMYFUNCTION("""COMPUTED_VALUE"""),"under review")</f>
        <v>under review</v>
      </c>
      <c r="W349" s="6" t="str">
        <f>IFERROR(__xludf.DUMMYFUNCTION("""COMPUTED_VALUE"""),"Baduel")</f>
        <v>Baduel</v>
      </c>
      <c r="X349" s="5"/>
      <c r="Y349" s="5" t="str">
        <f>IFERROR(__xludf.DUMMYFUNCTION("""COMPUTED_VALUE"""),"under review")</f>
        <v>under review</v>
      </c>
      <c r="Z349" s="5"/>
      <c r="AA349" s="5"/>
      <c r="AB349" s="5"/>
    </row>
    <row r="350">
      <c r="A350" s="5">
        <f>IFERROR(__xludf.DUMMYFUNCTION("""COMPUTED_VALUE"""),100348.0)</f>
        <v>100348</v>
      </c>
      <c r="B350" s="5" t="str">
        <f>IFERROR(__xludf.DUMMYFUNCTION("""COMPUTED_VALUE"""),"Etna-2")</f>
        <v>Etna-2</v>
      </c>
      <c r="C350" s="5">
        <f>IFERROR(__xludf.DUMMYFUNCTION("""COMPUTED_VALUE"""),9762.0)</f>
        <v>9762</v>
      </c>
      <c r="D350" s="5"/>
      <c r="E350" s="5"/>
      <c r="F350" s="5">
        <f>IFERROR(__xludf.DUMMYFUNCTION("""COMPUTED_VALUE"""),1.0)</f>
        <v>1</v>
      </c>
      <c r="G350" s="5"/>
      <c r="H350" s="5"/>
      <c r="I350" s="5"/>
      <c r="J350" s="5" t="str">
        <f>IFERROR(__xludf.DUMMYFUNCTION("""COMPUTED_VALUE"""),"CS76487")</f>
        <v>CS76487</v>
      </c>
      <c r="K350" s="5" t="str">
        <f>IFERROR(__xludf.DUMMYFUNCTION("""COMPUTED_VALUE"""),"37.69")</f>
        <v>37.69</v>
      </c>
      <c r="L350" s="5" t="str">
        <f>IFERROR(__xludf.DUMMYFUNCTION("""COMPUTED_VALUE"""),"14.98")</f>
        <v>14.98</v>
      </c>
      <c r="M350" s="5"/>
      <c r="N350" s="5">
        <f>IFERROR(__xludf.DUMMYFUNCTION("""COMPUTED_VALUE"""),20.0)</f>
        <v>20</v>
      </c>
      <c r="O350" s="5"/>
      <c r="P350" s="5"/>
      <c r="Q350" s="5" t="str">
        <f>IFERROR(__xludf.DUMMYFUNCTION("""COMPUTED_VALUE"""),"no")</f>
        <v>no</v>
      </c>
      <c r="R350" s="5" t="str">
        <f>IFERROR(__xludf.DUMMYFUNCTION("""COMPUTED_VALUE"""),"ONT")</f>
        <v>ONT</v>
      </c>
      <c r="S350" s="5" t="str">
        <f>IFERROR(__xludf.DUMMYFUNCTION("""COMPUTED_VALUE"""),"Flye_v2.9-b1768")</f>
        <v>Flye_v2.9-b1768</v>
      </c>
      <c r="T350" s="6"/>
      <c r="U350" s="6">
        <f>IFERROR(__xludf.DUMMYFUNCTION("""COMPUTED_VALUE"""),2024.0)</f>
        <v>2024</v>
      </c>
      <c r="V350" s="6" t="str">
        <f>IFERROR(__xludf.DUMMYFUNCTION("""COMPUTED_VALUE"""),"under review")</f>
        <v>under review</v>
      </c>
      <c r="W350" s="6" t="str">
        <f>IFERROR(__xludf.DUMMYFUNCTION("""COMPUTED_VALUE"""),"Baduel")</f>
        <v>Baduel</v>
      </c>
      <c r="X350" s="5"/>
      <c r="Y350" s="5" t="str">
        <f>IFERROR(__xludf.DUMMYFUNCTION("""COMPUTED_VALUE"""),"under review")</f>
        <v>under review</v>
      </c>
      <c r="Z350" s="5"/>
      <c r="AA350" s="5"/>
      <c r="AB350" s="5"/>
    </row>
    <row r="351">
      <c r="A351" s="5">
        <f>IFERROR(__xludf.DUMMYFUNCTION("""COMPUTED_VALUE"""),100349.0)</f>
        <v>100349</v>
      </c>
      <c r="B351" s="5" t="str">
        <f>IFERROR(__xludf.DUMMYFUNCTION("""COMPUTED_VALUE"""),"IP-Vdm-0")</f>
        <v>IP-Vdm-0</v>
      </c>
      <c r="C351" s="5">
        <f>IFERROR(__xludf.DUMMYFUNCTION("""COMPUTED_VALUE"""),9594.0)</f>
        <v>9594</v>
      </c>
      <c r="D351" s="5"/>
      <c r="E351" s="5"/>
      <c r="F351" s="5">
        <f>IFERROR(__xludf.DUMMYFUNCTION("""COMPUTED_VALUE"""),1.0)</f>
        <v>1</v>
      </c>
      <c r="G351" s="5"/>
      <c r="H351" s="5"/>
      <c r="I351" s="5"/>
      <c r="J351" s="5" t="str">
        <f>IFERROR(__xludf.DUMMYFUNCTION("""COMPUTED_VALUE"""),"CS78837")</f>
        <v>CS78837</v>
      </c>
      <c r="K351" s="5" t="str">
        <f>IFERROR(__xludf.DUMMYFUNCTION("""COMPUTED_VALUE"""),"42.04")</f>
        <v>42.04</v>
      </c>
      <c r="L351" s="13">
        <f>IFERROR(__xludf.DUMMYFUNCTION("""COMPUTED_VALUE"""),45292.0)</f>
        <v>45292</v>
      </c>
      <c r="M351" s="5"/>
      <c r="N351" s="5">
        <f>IFERROR(__xludf.DUMMYFUNCTION("""COMPUTED_VALUE"""),15.0)</f>
        <v>15</v>
      </c>
      <c r="O351" s="5"/>
      <c r="P351" s="5"/>
      <c r="Q351" s="5" t="str">
        <f>IFERROR(__xludf.DUMMYFUNCTION("""COMPUTED_VALUE"""),"no")</f>
        <v>no</v>
      </c>
      <c r="R351" s="5" t="str">
        <f>IFERROR(__xludf.DUMMYFUNCTION("""COMPUTED_VALUE"""),"ONT")</f>
        <v>ONT</v>
      </c>
      <c r="S351" s="5" t="str">
        <f>IFERROR(__xludf.DUMMYFUNCTION("""COMPUTED_VALUE"""),"nextDenovo_v2.5.0")</f>
        <v>nextDenovo_v2.5.0</v>
      </c>
      <c r="T351" s="6"/>
      <c r="U351" s="6">
        <f>IFERROR(__xludf.DUMMYFUNCTION("""COMPUTED_VALUE"""),2024.0)</f>
        <v>2024</v>
      </c>
      <c r="V351" s="6" t="str">
        <f>IFERROR(__xludf.DUMMYFUNCTION("""COMPUTED_VALUE"""),"under review")</f>
        <v>under review</v>
      </c>
      <c r="W351" s="6" t="str">
        <f>IFERROR(__xludf.DUMMYFUNCTION("""COMPUTED_VALUE"""),"Baduel")</f>
        <v>Baduel</v>
      </c>
      <c r="X351" s="5"/>
      <c r="Y351" s="5" t="str">
        <f>IFERROR(__xludf.DUMMYFUNCTION("""COMPUTED_VALUE"""),"under review")</f>
        <v>under review</v>
      </c>
      <c r="Z351" s="5"/>
      <c r="AA351" s="5"/>
      <c r="AB351" s="5"/>
    </row>
    <row r="352">
      <c r="A352" s="5">
        <f>IFERROR(__xludf.DUMMYFUNCTION("""COMPUTED_VALUE"""),100350.0)</f>
        <v>100350</v>
      </c>
      <c r="B352" s="5" t="str">
        <f>IFERROR(__xludf.DUMMYFUNCTION("""COMPUTED_VALUE"""),"IP-Fun-0")</f>
        <v>IP-Fun-0</v>
      </c>
      <c r="C352" s="5">
        <f>IFERROR(__xludf.DUMMYFUNCTION("""COMPUTED_VALUE"""),9542.0)</f>
        <v>9542</v>
      </c>
      <c r="D352" s="5"/>
      <c r="E352" s="5"/>
      <c r="F352" s="5">
        <f>IFERROR(__xludf.DUMMYFUNCTION("""COMPUTED_VALUE"""),1.0)</f>
        <v>1</v>
      </c>
      <c r="G352" s="5"/>
      <c r="H352" s="5"/>
      <c r="I352" s="5"/>
      <c r="J352" s="5" t="str">
        <f>IFERROR(__xludf.DUMMYFUNCTION("""COMPUTED_VALUE"""),"CS76872")</f>
        <v>CS76872</v>
      </c>
      <c r="K352" s="5" t="str">
        <f>IFERROR(__xludf.DUMMYFUNCTION("""COMPUTED_VALUE"""),"40.79")</f>
        <v>40.79</v>
      </c>
      <c r="L352" s="5" t="str">
        <f>IFERROR(__xludf.DUMMYFUNCTION("""COMPUTED_VALUE"""),"-4.05")</f>
        <v>-4.05</v>
      </c>
      <c r="M352" s="5"/>
      <c r="N352" s="5">
        <f>IFERROR(__xludf.DUMMYFUNCTION("""COMPUTED_VALUE"""),12.0)</f>
        <v>12</v>
      </c>
      <c r="O352" s="5"/>
      <c r="P352" s="5"/>
      <c r="Q352" s="5" t="str">
        <f>IFERROR(__xludf.DUMMYFUNCTION("""COMPUTED_VALUE"""),"no")</f>
        <v>no</v>
      </c>
      <c r="R352" s="5" t="str">
        <f>IFERROR(__xludf.DUMMYFUNCTION("""COMPUTED_VALUE"""),"ONT")</f>
        <v>ONT</v>
      </c>
      <c r="S352" s="5" t="str">
        <f>IFERROR(__xludf.DUMMYFUNCTION("""COMPUTED_VALUE"""),"Flye_v2.9-b1768")</f>
        <v>Flye_v2.9-b1768</v>
      </c>
      <c r="T352" s="6"/>
      <c r="U352" s="6">
        <f>IFERROR(__xludf.DUMMYFUNCTION("""COMPUTED_VALUE"""),2024.0)</f>
        <v>2024</v>
      </c>
      <c r="V352" s="6" t="str">
        <f>IFERROR(__xludf.DUMMYFUNCTION("""COMPUTED_VALUE"""),"under review")</f>
        <v>under review</v>
      </c>
      <c r="W352" s="6" t="str">
        <f>IFERROR(__xludf.DUMMYFUNCTION("""COMPUTED_VALUE"""),"Baduel")</f>
        <v>Baduel</v>
      </c>
      <c r="X352" s="5"/>
      <c r="Y352" s="5" t="str">
        <f>IFERROR(__xludf.DUMMYFUNCTION("""COMPUTED_VALUE"""),"under review")</f>
        <v>under review</v>
      </c>
      <c r="Z352" s="5"/>
      <c r="AA352" s="5"/>
      <c r="AB352" s="5"/>
    </row>
    <row r="353">
      <c r="A353" s="5">
        <f>IFERROR(__xludf.DUMMYFUNCTION("""COMPUTED_VALUE"""),100351.0)</f>
        <v>100351</v>
      </c>
      <c r="B353" s="5" t="str">
        <f>IFERROR(__xludf.DUMMYFUNCTION("""COMPUTED_VALUE"""),"IP-Pal-0")</f>
        <v>IP-Pal-0</v>
      </c>
      <c r="C353" s="5">
        <f>IFERROR(__xludf.DUMMYFUNCTION("""COMPUTED_VALUE"""),9567.0)</f>
        <v>9567</v>
      </c>
      <c r="D353" s="5"/>
      <c r="E353" s="5"/>
      <c r="F353" s="5">
        <f>IFERROR(__xludf.DUMMYFUNCTION("""COMPUTED_VALUE"""),1.0)</f>
        <v>1</v>
      </c>
      <c r="G353" s="5"/>
      <c r="H353" s="5"/>
      <c r="I353" s="5"/>
      <c r="J353" s="5" t="str">
        <f>IFERROR(__xludf.DUMMYFUNCTION("""COMPUTED_VALUE"""),"CS77159")</f>
        <v>CS77159</v>
      </c>
      <c r="K353" s="5" t="str">
        <f>IFERROR(__xludf.DUMMYFUNCTION("""COMPUTED_VALUE"""),"42.34")</f>
        <v>42.34</v>
      </c>
      <c r="L353" s="12">
        <f>IFERROR(__xludf.DUMMYFUNCTION("""COMPUTED_VALUE"""),45352.0)</f>
        <v>45352</v>
      </c>
      <c r="M353" s="5"/>
      <c r="N353" s="5">
        <f>IFERROR(__xludf.DUMMYFUNCTION("""COMPUTED_VALUE"""),44.0)</f>
        <v>44</v>
      </c>
      <c r="O353" s="5"/>
      <c r="P353" s="5"/>
      <c r="Q353" s="5" t="str">
        <f>IFERROR(__xludf.DUMMYFUNCTION("""COMPUTED_VALUE"""),"no")</f>
        <v>no</v>
      </c>
      <c r="R353" s="5" t="str">
        <f>IFERROR(__xludf.DUMMYFUNCTION("""COMPUTED_VALUE"""),"ONT")</f>
        <v>ONT</v>
      </c>
      <c r="S353" s="5" t="str">
        <f>IFERROR(__xludf.DUMMYFUNCTION("""COMPUTED_VALUE"""),"Flye_v2.9-b1768")</f>
        <v>Flye_v2.9-b1768</v>
      </c>
      <c r="T353" s="6"/>
      <c r="U353" s="6">
        <f>IFERROR(__xludf.DUMMYFUNCTION("""COMPUTED_VALUE"""),2024.0)</f>
        <v>2024</v>
      </c>
      <c r="V353" s="6" t="str">
        <f>IFERROR(__xludf.DUMMYFUNCTION("""COMPUTED_VALUE"""),"under review")</f>
        <v>under review</v>
      </c>
      <c r="W353" s="6" t="str">
        <f>IFERROR(__xludf.DUMMYFUNCTION("""COMPUTED_VALUE"""),"Baduel")</f>
        <v>Baduel</v>
      </c>
      <c r="X353" s="5"/>
      <c r="Y353" s="5" t="str">
        <f>IFERROR(__xludf.DUMMYFUNCTION("""COMPUTED_VALUE"""),"under review")</f>
        <v>under review</v>
      </c>
      <c r="Z353" s="5"/>
      <c r="AA353" s="5"/>
      <c r="AB353" s="5"/>
    </row>
    <row r="354">
      <c r="A354" s="5">
        <f>IFERROR(__xludf.DUMMYFUNCTION("""COMPUTED_VALUE"""),100352.0)</f>
        <v>100352</v>
      </c>
      <c r="B354" s="5" t="str">
        <f>IFERROR(__xludf.DUMMYFUNCTION("""COMPUTED_VALUE"""),"Kas-1")</f>
        <v>Kas-1</v>
      </c>
      <c r="C354" s="5">
        <f>IFERROR(__xludf.DUMMYFUNCTION("""COMPUTED_VALUE"""),7183.0)</f>
        <v>7183</v>
      </c>
      <c r="D354" s="5"/>
      <c r="E354" s="5"/>
      <c r="F354" s="5">
        <f>IFERROR(__xludf.DUMMYFUNCTION("""COMPUTED_VALUE"""),1.0)</f>
        <v>1</v>
      </c>
      <c r="G354" s="5"/>
      <c r="H354" s="5"/>
      <c r="I354" s="5"/>
      <c r="J354" s="5" t="str">
        <f>IFERROR(__xludf.DUMMYFUNCTION("""COMPUTED_VALUE"""),"CS79018")</f>
        <v>CS79018</v>
      </c>
      <c r="K354" s="5">
        <f>IFERROR(__xludf.DUMMYFUNCTION("""COMPUTED_VALUE"""),35.0)</f>
        <v>35</v>
      </c>
      <c r="L354" s="5">
        <f>IFERROR(__xludf.DUMMYFUNCTION("""COMPUTED_VALUE"""),77.0)</f>
        <v>77</v>
      </c>
      <c r="M354" s="5"/>
      <c r="N354" s="5">
        <f>IFERROR(__xludf.DUMMYFUNCTION("""COMPUTED_VALUE"""),8.0)</f>
        <v>8</v>
      </c>
      <c r="O354" s="5"/>
      <c r="P354" s="5"/>
      <c r="Q354" s="5" t="str">
        <f>IFERROR(__xludf.DUMMYFUNCTION("""COMPUTED_VALUE"""),"no")</f>
        <v>no</v>
      </c>
      <c r="R354" s="5" t="str">
        <f>IFERROR(__xludf.DUMMYFUNCTION("""COMPUTED_VALUE"""),"ONT")</f>
        <v>ONT</v>
      </c>
      <c r="S354" s="5" t="str">
        <f>IFERROR(__xludf.DUMMYFUNCTION("""COMPUTED_VALUE"""),"Flye_v2.9-b1768")</f>
        <v>Flye_v2.9-b1768</v>
      </c>
      <c r="T354" s="6"/>
      <c r="U354" s="6">
        <f>IFERROR(__xludf.DUMMYFUNCTION("""COMPUTED_VALUE"""),2024.0)</f>
        <v>2024</v>
      </c>
      <c r="V354" s="6" t="str">
        <f>IFERROR(__xludf.DUMMYFUNCTION("""COMPUTED_VALUE"""),"under review")</f>
        <v>under review</v>
      </c>
      <c r="W354" s="6" t="str">
        <f>IFERROR(__xludf.DUMMYFUNCTION("""COMPUTED_VALUE"""),"Baduel")</f>
        <v>Baduel</v>
      </c>
      <c r="X354" s="5"/>
      <c r="Y354" s="5" t="str">
        <f>IFERROR(__xludf.DUMMYFUNCTION("""COMPUTED_VALUE"""),"under review")</f>
        <v>under review</v>
      </c>
      <c r="Z354" s="5"/>
      <c r="AA354" s="5"/>
      <c r="AB354" s="5"/>
    </row>
    <row r="355">
      <c r="A355" s="5">
        <f>IFERROR(__xludf.DUMMYFUNCTION("""COMPUTED_VALUE"""),100353.0)</f>
        <v>100353</v>
      </c>
      <c r="B355" s="5" t="str">
        <f>IFERROR(__xludf.DUMMYFUNCTION("""COMPUTED_VALUE"""),"Lag2-4")</f>
        <v>Lag2-4</v>
      </c>
      <c r="C355" s="5">
        <f>IFERROR(__xludf.DUMMYFUNCTION("""COMPUTED_VALUE"""),9111.0)</f>
        <v>9111</v>
      </c>
      <c r="D355" s="5"/>
      <c r="E355" s="5"/>
      <c r="F355" s="5">
        <f>IFERROR(__xludf.DUMMYFUNCTION("""COMPUTED_VALUE"""),1.0)</f>
        <v>1</v>
      </c>
      <c r="G355" s="5"/>
      <c r="H355" s="5"/>
      <c r="I355" s="5"/>
      <c r="J355" s="5" t="str">
        <f>IFERROR(__xludf.DUMMYFUNCTION("""COMPUTED_VALUE"""),"CS77005")</f>
        <v>CS77005</v>
      </c>
      <c r="K355" s="5" t="str">
        <f>IFERROR(__xludf.DUMMYFUNCTION("""COMPUTED_VALUE"""),"41.8296")</f>
        <v>41.8296</v>
      </c>
      <c r="L355" s="5" t="str">
        <f>IFERROR(__xludf.DUMMYFUNCTION("""COMPUTED_VALUE"""),"46.2831")</f>
        <v>46.2831</v>
      </c>
      <c r="M355" s="5"/>
      <c r="N355" s="5">
        <f>IFERROR(__xludf.DUMMYFUNCTION("""COMPUTED_VALUE"""),14.0)</f>
        <v>14</v>
      </c>
      <c r="O355" s="5"/>
      <c r="P355" s="5"/>
      <c r="Q355" s="5" t="str">
        <f>IFERROR(__xludf.DUMMYFUNCTION("""COMPUTED_VALUE"""),"no")</f>
        <v>no</v>
      </c>
      <c r="R355" s="5" t="str">
        <f>IFERROR(__xludf.DUMMYFUNCTION("""COMPUTED_VALUE"""),"ONT")</f>
        <v>ONT</v>
      </c>
      <c r="S355" s="5" t="str">
        <f>IFERROR(__xludf.DUMMYFUNCTION("""COMPUTED_VALUE"""),"Flye_v2.9-b1768")</f>
        <v>Flye_v2.9-b1768</v>
      </c>
      <c r="T355" s="6"/>
      <c r="U355" s="6">
        <f>IFERROR(__xludf.DUMMYFUNCTION("""COMPUTED_VALUE"""),2024.0)</f>
        <v>2024</v>
      </c>
      <c r="V355" s="6" t="str">
        <f>IFERROR(__xludf.DUMMYFUNCTION("""COMPUTED_VALUE"""),"under review")</f>
        <v>under review</v>
      </c>
      <c r="W355" s="6" t="str">
        <f>IFERROR(__xludf.DUMMYFUNCTION("""COMPUTED_VALUE"""),"Baduel")</f>
        <v>Baduel</v>
      </c>
      <c r="X355" s="5"/>
      <c r="Y355" s="5" t="str">
        <f>IFERROR(__xludf.DUMMYFUNCTION("""COMPUTED_VALUE"""),"under review")</f>
        <v>under review</v>
      </c>
      <c r="Z355" s="5"/>
      <c r="AA355" s="5"/>
      <c r="AB355" s="5"/>
    </row>
    <row r="356">
      <c r="A356" s="5">
        <f>IFERROR(__xludf.DUMMYFUNCTION("""COMPUTED_VALUE"""),100354.0)</f>
        <v>100354</v>
      </c>
      <c r="B356" s="5" t="str">
        <f>IFERROR(__xludf.DUMMYFUNCTION("""COMPUTED_VALUE"""),"Ler-0")</f>
        <v>Ler-0</v>
      </c>
      <c r="C356" s="5">
        <f>IFERROR(__xludf.DUMMYFUNCTION("""COMPUTED_VALUE"""),7213.0)</f>
        <v>7213</v>
      </c>
      <c r="D356" s="5"/>
      <c r="E356" s="5"/>
      <c r="F356" s="5">
        <f>IFERROR(__xludf.DUMMYFUNCTION("""COMPUTED_VALUE"""),1.0)</f>
        <v>1</v>
      </c>
      <c r="G356" s="5"/>
      <c r="H356" s="5"/>
      <c r="I356" s="5"/>
      <c r="J356" s="5" t="str">
        <f>IFERROR(__xludf.DUMMYFUNCTION("""COMPUTED_VALUE"""),"CS77020")</f>
        <v>CS77020</v>
      </c>
      <c r="K356" s="5" t="str">
        <f>IFERROR(__xludf.DUMMYFUNCTION("""COMPUTED_VALUE"""),"47.984")</f>
        <v>47.984</v>
      </c>
      <c r="L356" s="14">
        <f>IFERROR(__xludf.DUMMYFUNCTION("""COMPUTED_VALUE"""),2490863.0)</f>
        <v>2490863</v>
      </c>
      <c r="M356" s="5"/>
      <c r="N356" s="5">
        <f>IFERROR(__xludf.DUMMYFUNCTION("""COMPUTED_VALUE"""),9.0)</f>
        <v>9</v>
      </c>
      <c r="O356" s="5"/>
      <c r="P356" s="5"/>
      <c r="Q356" s="5" t="str">
        <f>IFERROR(__xludf.DUMMYFUNCTION("""COMPUTED_VALUE"""),"no")</f>
        <v>no</v>
      </c>
      <c r="R356" s="5" t="str">
        <f>IFERROR(__xludf.DUMMYFUNCTION("""COMPUTED_VALUE"""),"ONT")</f>
        <v>ONT</v>
      </c>
      <c r="S356" s="5" t="str">
        <f>IFERROR(__xludf.DUMMYFUNCTION("""COMPUTED_VALUE"""),"Flye_v2.9-b1768")</f>
        <v>Flye_v2.9-b1768</v>
      </c>
      <c r="T356" s="6"/>
      <c r="U356" s="6">
        <f>IFERROR(__xludf.DUMMYFUNCTION("""COMPUTED_VALUE"""),2024.0)</f>
        <v>2024</v>
      </c>
      <c r="V356" s="6" t="str">
        <f>IFERROR(__xludf.DUMMYFUNCTION("""COMPUTED_VALUE"""),"under review")</f>
        <v>under review</v>
      </c>
      <c r="W356" s="6" t="str">
        <f>IFERROR(__xludf.DUMMYFUNCTION("""COMPUTED_VALUE"""),"Baduel")</f>
        <v>Baduel</v>
      </c>
      <c r="X356" s="5"/>
      <c r="Y356" s="5" t="str">
        <f>IFERROR(__xludf.DUMMYFUNCTION("""COMPUTED_VALUE"""),"under review")</f>
        <v>under review</v>
      </c>
      <c r="Z356" s="5"/>
      <c r="AA356" s="5"/>
      <c r="AB356" s="5"/>
    </row>
    <row r="357">
      <c r="A357" s="5">
        <f>IFERROR(__xludf.DUMMYFUNCTION("""COMPUTED_VALUE"""),100355.0)</f>
        <v>100355</v>
      </c>
      <c r="B357" s="5" t="str">
        <f>IFERROR(__xludf.DUMMYFUNCTION("""COMPUTED_VALUE"""),"Lerik1-7")</f>
        <v>Lerik1-7</v>
      </c>
      <c r="C357" s="5">
        <f>IFERROR(__xludf.DUMMYFUNCTION("""COMPUTED_VALUE"""),9078.0)</f>
        <v>9078</v>
      </c>
      <c r="D357" s="5"/>
      <c r="E357" s="5"/>
      <c r="F357" s="5">
        <f>IFERROR(__xludf.DUMMYFUNCTION("""COMPUTED_VALUE"""),1.0)</f>
        <v>1</v>
      </c>
      <c r="G357" s="5"/>
      <c r="H357" s="5"/>
      <c r="I357" s="5"/>
      <c r="J357" s="5" t="str">
        <f>IFERROR(__xludf.DUMMYFUNCTION("""COMPUTED_VALUE"""),"CS77024")</f>
        <v>CS77024</v>
      </c>
      <c r="K357" s="5" t="str">
        <f>IFERROR(__xludf.DUMMYFUNCTION("""COMPUTED_VALUE"""),"38.7406")</f>
        <v>38.7406</v>
      </c>
      <c r="L357" s="5" t="str">
        <f>IFERROR(__xludf.DUMMYFUNCTION("""COMPUTED_VALUE"""),"48.6131")</f>
        <v>48.6131</v>
      </c>
      <c r="M357" s="5"/>
      <c r="N357" s="5">
        <f>IFERROR(__xludf.DUMMYFUNCTION("""COMPUTED_VALUE"""),14.0)</f>
        <v>14</v>
      </c>
      <c r="O357" s="5"/>
      <c r="P357" s="5"/>
      <c r="Q357" s="5" t="str">
        <f>IFERROR(__xludf.DUMMYFUNCTION("""COMPUTED_VALUE"""),"no")</f>
        <v>no</v>
      </c>
      <c r="R357" s="5" t="str">
        <f>IFERROR(__xludf.DUMMYFUNCTION("""COMPUTED_VALUE"""),"ONT")</f>
        <v>ONT</v>
      </c>
      <c r="S357" s="5" t="str">
        <f>IFERROR(__xludf.DUMMYFUNCTION("""COMPUTED_VALUE"""),"Flye_v2.9-b1768")</f>
        <v>Flye_v2.9-b1768</v>
      </c>
      <c r="T357" s="6"/>
      <c r="U357" s="6">
        <f>IFERROR(__xludf.DUMMYFUNCTION("""COMPUTED_VALUE"""),2024.0)</f>
        <v>2024</v>
      </c>
      <c r="V357" s="6" t="str">
        <f>IFERROR(__xludf.DUMMYFUNCTION("""COMPUTED_VALUE"""),"under review")</f>
        <v>under review</v>
      </c>
      <c r="W357" s="6" t="str">
        <f>IFERROR(__xludf.DUMMYFUNCTION("""COMPUTED_VALUE"""),"Baduel")</f>
        <v>Baduel</v>
      </c>
      <c r="X357" s="5"/>
      <c r="Y357" s="5" t="str">
        <f>IFERROR(__xludf.DUMMYFUNCTION("""COMPUTED_VALUE"""),"under review")</f>
        <v>under review</v>
      </c>
      <c r="Z357" s="5"/>
      <c r="AA357" s="5"/>
      <c r="AB357" s="5"/>
    </row>
    <row r="358">
      <c r="A358" s="5">
        <f>IFERROR(__xludf.DUMMYFUNCTION("""COMPUTED_VALUE"""),100356.0)</f>
        <v>100356</v>
      </c>
      <c r="B358" s="5" t="str">
        <f>IFERROR(__xludf.DUMMYFUNCTION("""COMPUTED_VALUE"""),"MNF-Pin-40")</f>
        <v>MNF-Pin-40</v>
      </c>
      <c r="C358" s="5">
        <f>IFERROR(__xludf.DUMMYFUNCTION("""COMPUTED_VALUE"""),2017.0)</f>
        <v>2017</v>
      </c>
      <c r="D358" s="5"/>
      <c r="E358" s="5"/>
      <c r="F358" s="5">
        <f>IFERROR(__xludf.DUMMYFUNCTION("""COMPUTED_VALUE"""),1.0)</f>
        <v>1</v>
      </c>
      <c r="G358" s="5"/>
      <c r="H358" s="5"/>
      <c r="I358" s="5"/>
      <c r="J358" s="5" t="str">
        <f>IFERROR(__xludf.DUMMYFUNCTION("""COMPUTED_VALUE"""),"CS78982")</f>
        <v>CS78982</v>
      </c>
      <c r="K358" s="5" t="str">
        <f>IFERROR(__xludf.DUMMYFUNCTION("""COMPUTED_VALUE"""),"43.5356")</f>
        <v>43.5356</v>
      </c>
      <c r="L358" s="5" t="str">
        <f>IFERROR(__xludf.DUMMYFUNCTION("""COMPUTED_VALUE"""),"-86.1788")</f>
        <v>-86.1788</v>
      </c>
      <c r="M358" s="5"/>
      <c r="N358" s="5">
        <f>IFERROR(__xludf.DUMMYFUNCTION("""COMPUTED_VALUE"""),32.0)</f>
        <v>32</v>
      </c>
      <c r="O358" s="5"/>
      <c r="P358" s="5"/>
      <c r="Q358" s="5" t="str">
        <f>IFERROR(__xludf.DUMMYFUNCTION("""COMPUTED_VALUE"""),"no")</f>
        <v>no</v>
      </c>
      <c r="R358" s="5" t="str">
        <f>IFERROR(__xludf.DUMMYFUNCTION("""COMPUTED_VALUE"""),"ONT")</f>
        <v>ONT</v>
      </c>
      <c r="S358" s="5" t="str">
        <f>IFERROR(__xludf.DUMMYFUNCTION("""COMPUTED_VALUE"""),"Flye_v2.9-b1768")</f>
        <v>Flye_v2.9-b1768</v>
      </c>
      <c r="T358" s="6"/>
      <c r="U358" s="6">
        <f>IFERROR(__xludf.DUMMYFUNCTION("""COMPUTED_VALUE"""),2024.0)</f>
        <v>2024</v>
      </c>
      <c r="V358" s="6" t="str">
        <f>IFERROR(__xludf.DUMMYFUNCTION("""COMPUTED_VALUE"""),"under review")</f>
        <v>under review</v>
      </c>
      <c r="W358" s="6" t="str">
        <f>IFERROR(__xludf.DUMMYFUNCTION("""COMPUTED_VALUE"""),"Baduel")</f>
        <v>Baduel</v>
      </c>
      <c r="X358" s="5"/>
      <c r="Y358" s="5" t="str">
        <f>IFERROR(__xludf.DUMMYFUNCTION("""COMPUTED_VALUE"""),"under review")</f>
        <v>under review</v>
      </c>
      <c r="Z358" s="5"/>
      <c r="AA358" s="5"/>
      <c r="AB358" s="5"/>
    </row>
    <row r="359">
      <c r="A359" s="5">
        <f>IFERROR(__xludf.DUMMYFUNCTION("""COMPUTED_VALUE"""),100357.0)</f>
        <v>100357</v>
      </c>
      <c r="B359" s="5" t="str">
        <f>IFERROR(__xludf.DUMMYFUNCTION("""COMPUTED_VALUE"""),"Sij-1")</f>
        <v>Sij-1</v>
      </c>
      <c r="C359" s="5">
        <f>IFERROR(__xludf.DUMMYFUNCTION("""COMPUTED_VALUE"""),9745.0)</f>
        <v>9745</v>
      </c>
      <c r="D359" s="5"/>
      <c r="E359" s="5"/>
      <c r="F359" s="5">
        <f>IFERROR(__xludf.DUMMYFUNCTION("""COMPUTED_VALUE"""),1.0)</f>
        <v>1</v>
      </c>
      <c r="G359" s="5"/>
      <c r="H359" s="5"/>
      <c r="I359" s="5"/>
      <c r="J359" s="5" t="str">
        <f>IFERROR(__xludf.DUMMYFUNCTION("""COMPUTED_VALUE"""),"CS77249")</f>
        <v>CS77249</v>
      </c>
      <c r="K359" s="5" t="str">
        <f>IFERROR(__xludf.DUMMYFUNCTION("""COMPUTED_VALUE"""),"41.45")</f>
        <v>41.45</v>
      </c>
      <c r="L359" s="5" t="str">
        <f>IFERROR(__xludf.DUMMYFUNCTION("""COMPUTED_VALUE"""),"70.05")</f>
        <v>70.05</v>
      </c>
      <c r="M359" s="5"/>
      <c r="N359" s="5">
        <f>IFERROR(__xludf.DUMMYFUNCTION("""COMPUTED_VALUE"""),12.0)</f>
        <v>12</v>
      </c>
      <c r="O359" s="5"/>
      <c r="P359" s="5"/>
      <c r="Q359" s="5" t="str">
        <f>IFERROR(__xludf.DUMMYFUNCTION("""COMPUTED_VALUE"""),"no")</f>
        <v>no</v>
      </c>
      <c r="R359" s="5" t="str">
        <f>IFERROR(__xludf.DUMMYFUNCTION("""COMPUTED_VALUE"""),"ONT")</f>
        <v>ONT</v>
      </c>
      <c r="S359" s="5" t="str">
        <f>IFERROR(__xludf.DUMMYFUNCTION("""COMPUTED_VALUE"""),"Flye_v2.9-b1768")</f>
        <v>Flye_v2.9-b1768</v>
      </c>
      <c r="T359" s="6"/>
      <c r="U359" s="6">
        <f>IFERROR(__xludf.DUMMYFUNCTION("""COMPUTED_VALUE"""),2024.0)</f>
        <v>2024</v>
      </c>
      <c r="V359" s="6" t="str">
        <f>IFERROR(__xludf.DUMMYFUNCTION("""COMPUTED_VALUE"""),"under review")</f>
        <v>under review</v>
      </c>
      <c r="W359" s="6" t="str">
        <f>IFERROR(__xludf.DUMMYFUNCTION("""COMPUTED_VALUE"""),"Baduel")</f>
        <v>Baduel</v>
      </c>
      <c r="X359" s="5"/>
      <c r="Y359" s="5" t="str">
        <f>IFERROR(__xludf.DUMMYFUNCTION("""COMPUTED_VALUE"""),"under review")</f>
        <v>under review</v>
      </c>
      <c r="Z359" s="5"/>
      <c r="AA359" s="5"/>
      <c r="AB359" s="5"/>
    </row>
    <row r="360">
      <c r="A360" s="5">
        <f>IFERROR(__xludf.DUMMYFUNCTION("""COMPUTED_VALUE"""),100358.0)</f>
        <v>100358</v>
      </c>
      <c r="B360" s="5" t="str">
        <f>IFERROR(__xludf.DUMMYFUNCTION("""COMPUTED_VALUE"""),"T930")</f>
        <v>T930</v>
      </c>
      <c r="C360" s="5">
        <f>IFERROR(__xludf.DUMMYFUNCTION("""COMPUTED_VALUE"""),6145.0)</f>
        <v>6145</v>
      </c>
      <c r="D360" s="5"/>
      <c r="E360" s="5"/>
      <c r="F360" s="5">
        <f>IFERROR(__xludf.DUMMYFUNCTION("""COMPUTED_VALUE"""),1.0)</f>
        <v>1</v>
      </c>
      <c r="G360" s="5"/>
      <c r="H360" s="5"/>
      <c r="I360" s="5"/>
      <c r="J360" s="5" t="str">
        <f>IFERROR(__xludf.DUMMYFUNCTION("""COMPUTED_VALUE"""),"CS77324")</f>
        <v>CS77324</v>
      </c>
      <c r="K360" s="5" t="str">
        <f>IFERROR(__xludf.DUMMYFUNCTION("""COMPUTED_VALUE"""),"55.9497")</f>
        <v>55.9497</v>
      </c>
      <c r="L360" s="5" t="str">
        <f>IFERROR(__xludf.DUMMYFUNCTION("""COMPUTED_VALUE"""),"13.5533")</f>
        <v>13.5533</v>
      </c>
      <c r="M360" s="5"/>
      <c r="N360" s="5">
        <f>IFERROR(__xludf.DUMMYFUNCTION("""COMPUTED_VALUE"""),19.0)</f>
        <v>19</v>
      </c>
      <c r="O360" s="5"/>
      <c r="P360" s="5"/>
      <c r="Q360" s="5" t="str">
        <f>IFERROR(__xludf.DUMMYFUNCTION("""COMPUTED_VALUE"""),"no")</f>
        <v>no</v>
      </c>
      <c r="R360" s="5" t="str">
        <f>IFERROR(__xludf.DUMMYFUNCTION("""COMPUTED_VALUE"""),"ONT")</f>
        <v>ONT</v>
      </c>
      <c r="S360" s="5" t="str">
        <f>IFERROR(__xludf.DUMMYFUNCTION("""COMPUTED_VALUE"""),"nextDenovo_v2.5.0")</f>
        <v>nextDenovo_v2.5.0</v>
      </c>
      <c r="T360" s="6"/>
      <c r="U360" s="6">
        <f>IFERROR(__xludf.DUMMYFUNCTION("""COMPUTED_VALUE"""),2024.0)</f>
        <v>2024</v>
      </c>
      <c r="V360" s="6" t="str">
        <f>IFERROR(__xludf.DUMMYFUNCTION("""COMPUTED_VALUE"""),"under review")</f>
        <v>under review</v>
      </c>
      <c r="W360" s="6" t="str">
        <f>IFERROR(__xludf.DUMMYFUNCTION("""COMPUTED_VALUE"""),"Baduel")</f>
        <v>Baduel</v>
      </c>
      <c r="X360" s="5"/>
      <c r="Y360" s="5" t="str">
        <f>IFERROR(__xludf.DUMMYFUNCTION("""COMPUTED_VALUE"""),"under review")</f>
        <v>under review</v>
      </c>
      <c r="Z360" s="5"/>
      <c r="AA360" s="5"/>
      <c r="AB360" s="5"/>
    </row>
    <row r="361">
      <c r="A361" s="5">
        <f>IFERROR(__xludf.DUMMYFUNCTION("""COMPUTED_VALUE"""),100359.0)</f>
        <v>100359</v>
      </c>
      <c r="B361" s="5" t="str">
        <f>IFERROR(__xludf.DUMMYFUNCTION("""COMPUTED_VALUE"""),"Taa-14")</f>
        <v>Taa-14</v>
      </c>
      <c r="C361" s="5">
        <f>IFERROR(__xludf.DUMMYFUNCTION("""COMPUTED_VALUE"""),6163.0)</f>
        <v>6163</v>
      </c>
      <c r="D361" s="5"/>
      <c r="E361" s="5"/>
      <c r="F361" s="5">
        <f>IFERROR(__xludf.DUMMYFUNCTION("""COMPUTED_VALUE"""),1.0)</f>
        <v>1</v>
      </c>
      <c r="G361" s="5"/>
      <c r="H361" s="5"/>
      <c r="I361" s="5"/>
      <c r="J361" s="5" t="str">
        <f>IFERROR(__xludf.DUMMYFUNCTION("""COMPUTED_VALUE"""),"CS77331")</f>
        <v>CS77331</v>
      </c>
      <c r="K361" s="5" t="str">
        <f>IFERROR(__xludf.DUMMYFUNCTION("""COMPUTED_VALUE"""),"62.6425")</f>
        <v>62.6425</v>
      </c>
      <c r="L361" s="5" t="str">
        <f>IFERROR(__xludf.DUMMYFUNCTION("""COMPUTED_VALUE"""),"17.7356")</f>
        <v>17.7356</v>
      </c>
      <c r="M361" s="5"/>
      <c r="N361" s="5">
        <f>IFERROR(__xludf.DUMMYFUNCTION("""COMPUTED_VALUE"""),17.0)</f>
        <v>17</v>
      </c>
      <c r="O361" s="5"/>
      <c r="P361" s="5"/>
      <c r="Q361" s="5" t="str">
        <f>IFERROR(__xludf.DUMMYFUNCTION("""COMPUTED_VALUE"""),"no")</f>
        <v>no</v>
      </c>
      <c r="R361" s="5" t="str">
        <f>IFERROR(__xludf.DUMMYFUNCTION("""COMPUTED_VALUE"""),"ONT")</f>
        <v>ONT</v>
      </c>
      <c r="S361" s="5" t="str">
        <f>IFERROR(__xludf.DUMMYFUNCTION("""COMPUTED_VALUE"""),"Flye_v2.9-b1768")</f>
        <v>Flye_v2.9-b1768</v>
      </c>
      <c r="T361" s="6"/>
      <c r="U361" s="6">
        <f>IFERROR(__xludf.DUMMYFUNCTION("""COMPUTED_VALUE"""),2024.0)</f>
        <v>2024</v>
      </c>
      <c r="V361" s="6" t="str">
        <f>IFERROR(__xludf.DUMMYFUNCTION("""COMPUTED_VALUE"""),"under review")</f>
        <v>under review</v>
      </c>
      <c r="W361" s="6" t="str">
        <f>IFERROR(__xludf.DUMMYFUNCTION("""COMPUTED_VALUE"""),"Baduel")</f>
        <v>Baduel</v>
      </c>
      <c r="X361" s="5"/>
      <c r="Y361" s="5" t="str">
        <f>IFERROR(__xludf.DUMMYFUNCTION("""COMPUTED_VALUE"""),"under review")</f>
        <v>under review</v>
      </c>
      <c r="Z361" s="5"/>
      <c r="AA361" s="5"/>
      <c r="AB361" s="5"/>
    </row>
    <row r="362">
      <c r="A362" s="5">
        <f>IFERROR(__xludf.DUMMYFUNCTION("""COMPUTED_VALUE"""),100360.0)</f>
        <v>100360</v>
      </c>
      <c r="B362" s="5" t="str">
        <f>IFERROR(__xludf.DUMMYFUNCTION("""COMPUTED_VALUE"""),"Tac-0")</f>
        <v>Tac-0</v>
      </c>
      <c r="C362" s="5">
        <f>IFERROR(__xludf.DUMMYFUNCTION("""COMPUTED_VALUE"""),7350.0)</f>
        <v>7350</v>
      </c>
      <c r="D362" s="5"/>
      <c r="E362" s="5"/>
      <c r="F362" s="5">
        <f>IFERROR(__xludf.DUMMYFUNCTION("""COMPUTED_VALUE"""),1.0)</f>
        <v>1</v>
      </c>
      <c r="G362" s="5"/>
      <c r="H362" s="5"/>
      <c r="I362" s="5"/>
      <c r="J362" s="5" t="str">
        <f>IFERROR(__xludf.DUMMYFUNCTION("""COMPUTED_VALUE"""),"CS76609")</f>
        <v>CS76609</v>
      </c>
      <c r="K362" s="5" t="str">
        <f>IFERROR(__xludf.DUMMYFUNCTION("""COMPUTED_VALUE"""),"47.2413")</f>
        <v>47.2413</v>
      </c>
      <c r="L362" s="5" t="str">
        <f>IFERROR(__xludf.DUMMYFUNCTION("""COMPUTED_VALUE"""),"-122.459")</f>
        <v>-122.459</v>
      </c>
      <c r="M362" s="5"/>
      <c r="N362" s="5">
        <f>IFERROR(__xludf.DUMMYFUNCTION("""COMPUTED_VALUE"""),11.0)</f>
        <v>11</v>
      </c>
      <c r="O362" s="5"/>
      <c r="P362" s="5"/>
      <c r="Q362" s="5" t="str">
        <f>IFERROR(__xludf.DUMMYFUNCTION("""COMPUTED_VALUE"""),"no")</f>
        <v>no</v>
      </c>
      <c r="R362" s="5" t="str">
        <f>IFERROR(__xludf.DUMMYFUNCTION("""COMPUTED_VALUE"""),"ONT")</f>
        <v>ONT</v>
      </c>
      <c r="S362" s="5" t="str">
        <f>IFERROR(__xludf.DUMMYFUNCTION("""COMPUTED_VALUE"""),"Flye_v2.9-b1768")</f>
        <v>Flye_v2.9-b1768</v>
      </c>
      <c r="T362" s="6"/>
      <c r="U362" s="6">
        <f>IFERROR(__xludf.DUMMYFUNCTION("""COMPUTED_VALUE"""),2024.0)</f>
        <v>2024</v>
      </c>
      <c r="V362" s="6" t="str">
        <f>IFERROR(__xludf.DUMMYFUNCTION("""COMPUTED_VALUE"""),"under review")</f>
        <v>under review</v>
      </c>
      <c r="W362" s="6" t="str">
        <f>IFERROR(__xludf.DUMMYFUNCTION("""COMPUTED_VALUE"""),"Baduel")</f>
        <v>Baduel</v>
      </c>
      <c r="X362" s="5"/>
      <c r="Y362" s="5" t="str">
        <f>IFERROR(__xludf.DUMMYFUNCTION("""COMPUTED_VALUE"""),"under review")</f>
        <v>under review</v>
      </c>
      <c r="Z362" s="5"/>
      <c r="AA362" s="5"/>
      <c r="AB362" s="5"/>
    </row>
    <row r="363">
      <c r="A363" s="5">
        <f>IFERROR(__xludf.DUMMYFUNCTION("""COMPUTED_VALUE"""),100361.0)</f>
        <v>100361</v>
      </c>
      <c r="B363" s="5" t="str">
        <f>IFERROR(__xludf.DUMMYFUNCTION("""COMPUTED_VALUE"""),"627RMX-1MN5")</f>
        <v>627RMX-1MN5</v>
      </c>
      <c r="C363" s="5">
        <f>IFERROR(__xludf.DUMMYFUNCTION("""COMPUTED_VALUE"""),7530.0)</f>
        <v>7530</v>
      </c>
      <c r="D363" s="5"/>
      <c r="E363" s="5"/>
      <c r="F363" s="5">
        <f>IFERROR(__xludf.DUMMYFUNCTION("""COMPUTED_VALUE"""),1.0)</f>
        <v>1</v>
      </c>
      <c r="G363" s="5"/>
      <c r="H363" s="5"/>
      <c r="I363" s="5"/>
      <c r="J363" s="5" t="str">
        <f>IFERROR(__xludf.DUMMYFUNCTION("""COMPUTED_VALUE"""),"CS79023")</f>
        <v>CS79023</v>
      </c>
      <c r="K363" s="5" t="str">
        <f>IFERROR(__xludf.DUMMYFUNCTION("""COMPUTED_VALUE"""),"42.0333")</f>
        <v>42.0333</v>
      </c>
      <c r="L363" s="5" t="str">
        <f>IFERROR(__xludf.DUMMYFUNCTION("""COMPUTED_VALUE"""),"-86.5128")</f>
        <v>-86.5128</v>
      </c>
      <c r="M363" s="5"/>
      <c r="N363" s="5">
        <f>IFERROR(__xludf.DUMMYFUNCTION("""COMPUTED_VALUE"""),12.0)</f>
        <v>12</v>
      </c>
      <c r="O363" s="5"/>
      <c r="P363" s="5"/>
      <c r="Q363" s="5" t="str">
        <f>IFERROR(__xludf.DUMMYFUNCTION("""COMPUTED_VALUE"""),"no")</f>
        <v>no</v>
      </c>
      <c r="R363" s="5" t="str">
        <f>IFERROR(__xludf.DUMMYFUNCTION("""COMPUTED_VALUE"""),"ONT")</f>
        <v>ONT</v>
      </c>
      <c r="S363" s="5" t="str">
        <f>IFERROR(__xludf.DUMMYFUNCTION("""COMPUTED_VALUE"""),"nextDenovo_v2.5.0")</f>
        <v>nextDenovo_v2.5.0</v>
      </c>
      <c r="T363" s="6"/>
      <c r="U363" s="6">
        <f>IFERROR(__xludf.DUMMYFUNCTION("""COMPUTED_VALUE"""),2024.0)</f>
        <v>2024</v>
      </c>
      <c r="V363" s="6" t="str">
        <f>IFERROR(__xludf.DUMMYFUNCTION("""COMPUTED_VALUE"""),"no")</f>
        <v>no</v>
      </c>
      <c r="W363" s="6"/>
      <c r="X363" s="5"/>
      <c r="Y363" s="5" t="str">
        <f>IFERROR(__xludf.DUMMYFUNCTION("""COMPUTED_VALUE"""),"unpublished")</f>
        <v>unpublished</v>
      </c>
      <c r="Z363" s="5"/>
      <c r="AA363" s="5"/>
      <c r="AB363" s="5"/>
    </row>
    <row r="364">
      <c r="A364" s="5">
        <f>IFERROR(__xludf.DUMMYFUNCTION("""COMPUTED_VALUE"""),100362.0)</f>
        <v>100362</v>
      </c>
      <c r="B364" s="5" t="str">
        <f>IFERROR(__xludf.DUMMYFUNCTION("""COMPUTED_VALUE"""),"Ãngs-74-430")</f>
        <v>Ãngs-74-430</v>
      </c>
      <c r="C364" s="5">
        <f>IFERROR(__xludf.DUMMYFUNCTION("""COMPUTED_VALUE"""),1317.0)</f>
        <v>1317</v>
      </c>
      <c r="D364" s="5"/>
      <c r="E364" s="5"/>
      <c r="F364" s="5">
        <f>IFERROR(__xludf.DUMMYFUNCTION("""COMPUTED_VALUE"""),1.0)</f>
        <v>1</v>
      </c>
      <c r="G364" s="5"/>
      <c r="H364" s="5"/>
      <c r="I364" s="5"/>
      <c r="J364" s="5" t="str">
        <f>IFERROR(__xludf.DUMMYFUNCTION("""COMPUTED_VALUE"""),"CS76665")</f>
        <v>CS76665</v>
      </c>
      <c r="K364" s="5" t="str">
        <f>IFERROR(__xludf.DUMMYFUNCTION("""COMPUTED_VALUE"""),"59.5667")</f>
        <v>59.5667</v>
      </c>
      <c r="L364" s="5" t="str">
        <f>IFERROR(__xludf.DUMMYFUNCTION("""COMPUTED_VALUE"""),"16.8667")</f>
        <v>16.8667</v>
      </c>
      <c r="M364" s="5"/>
      <c r="N364" s="5">
        <f>IFERROR(__xludf.DUMMYFUNCTION("""COMPUTED_VALUE"""),20.0)</f>
        <v>20</v>
      </c>
      <c r="O364" s="5"/>
      <c r="P364" s="5"/>
      <c r="Q364" s="5" t="str">
        <f>IFERROR(__xludf.DUMMYFUNCTION("""COMPUTED_VALUE"""),"no")</f>
        <v>no</v>
      </c>
      <c r="R364" s="5" t="str">
        <f>IFERROR(__xludf.DUMMYFUNCTION("""COMPUTED_VALUE"""),"ONT")</f>
        <v>ONT</v>
      </c>
      <c r="S364" s="5" t="str">
        <f>IFERROR(__xludf.DUMMYFUNCTION("""COMPUTED_VALUE"""),"nextDenovo_v2.5.0")</f>
        <v>nextDenovo_v2.5.0</v>
      </c>
      <c r="T364" s="6"/>
      <c r="U364" s="6">
        <f>IFERROR(__xludf.DUMMYFUNCTION("""COMPUTED_VALUE"""),2024.0)</f>
        <v>2024</v>
      </c>
      <c r="V364" s="6" t="str">
        <f>IFERROR(__xludf.DUMMYFUNCTION("""COMPUTED_VALUE"""),"no")</f>
        <v>no</v>
      </c>
      <c r="W364" s="6"/>
      <c r="X364" s="5"/>
      <c r="Y364" s="5" t="str">
        <f>IFERROR(__xludf.DUMMYFUNCTION("""COMPUTED_VALUE"""),"unpublished")</f>
        <v>unpublished</v>
      </c>
      <c r="Z364" s="5"/>
      <c r="AA364" s="5"/>
      <c r="AB364" s="5"/>
    </row>
    <row r="365">
      <c r="A365" s="5">
        <f>IFERROR(__xludf.DUMMYFUNCTION("""COMPUTED_VALUE"""),100363.0)</f>
        <v>100363</v>
      </c>
      <c r="B365" s="5" t="str">
        <f>IFERROR(__xludf.DUMMYFUNCTION("""COMPUTED_VALUE"""),"Bach2-1")</f>
        <v>Bach2-1</v>
      </c>
      <c r="C365" s="5">
        <f>IFERROR(__xludf.DUMMYFUNCTION("""COMPUTED_VALUE"""),9796.0)</f>
        <v>9796</v>
      </c>
      <c r="D365" s="5"/>
      <c r="E365" s="5"/>
      <c r="F365" s="5">
        <f>IFERROR(__xludf.DUMMYFUNCTION("""COMPUTED_VALUE"""),1.0)</f>
        <v>1</v>
      </c>
      <c r="G365" s="5"/>
      <c r="H365" s="5"/>
      <c r="I365" s="5"/>
      <c r="J365" s="5" t="str">
        <f>IFERROR(__xludf.DUMMYFUNCTION("""COMPUTED_VALUE"""),"CS76680")</f>
        <v>CS76680</v>
      </c>
      <c r="K365" s="5" t="str">
        <f>IFERROR(__xludf.DUMMYFUNCTION("""COMPUTED_VALUE"""),"48.41")</f>
        <v>48.41</v>
      </c>
      <c r="L365" s="5" t="str">
        <f>IFERROR(__xludf.DUMMYFUNCTION("""COMPUTED_VALUE"""),"8.84")</f>
        <v>8.84</v>
      </c>
      <c r="M365" s="5"/>
      <c r="N365" s="5">
        <f>IFERROR(__xludf.DUMMYFUNCTION("""COMPUTED_VALUE"""),12.0)</f>
        <v>12</v>
      </c>
      <c r="O365" s="5"/>
      <c r="P365" s="5"/>
      <c r="Q365" s="5" t="str">
        <f>IFERROR(__xludf.DUMMYFUNCTION("""COMPUTED_VALUE"""),"no")</f>
        <v>no</v>
      </c>
      <c r="R365" s="5" t="str">
        <f>IFERROR(__xludf.DUMMYFUNCTION("""COMPUTED_VALUE"""),"ONT")</f>
        <v>ONT</v>
      </c>
      <c r="S365" s="5" t="str">
        <f>IFERROR(__xludf.DUMMYFUNCTION("""COMPUTED_VALUE"""),"nextDenovo_v2.5.0")</f>
        <v>nextDenovo_v2.5.0</v>
      </c>
      <c r="T365" s="6"/>
      <c r="U365" s="6">
        <f>IFERROR(__xludf.DUMMYFUNCTION("""COMPUTED_VALUE"""),2024.0)</f>
        <v>2024</v>
      </c>
      <c r="V365" s="6" t="str">
        <f>IFERROR(__xludf.DUMMYFUNCTION("""COMPUTED_VALUE"""),"no")</f>
        <v>no</v>
      </c>
      <c r="W365" s="6"/>
      <c r="X365" s="5"/>
      <c r="Y365" s="5" t="str">
        <f>IFERROR(__xludf.DUMMYFUNCTION("""COMPUTED_VALUE"""),"unpublished")</f>
        <v>unpublished</v>
      </c>
      <c r="Z365" s="5"/>
      <c r="AA365" s="5"/>
      <c r="AB365" s="5"/>
    </row>
    <row r="366">
      <c r="A366" s="5">
        <f>IFERROR(__xludf.DUMMYFUNCTION("""COMPUTED_VALUE"""),100364.0)</f>
        <v>100364</v>
      </c>
      <c r="B366" s="5" t="str">
        <f>IFERROR(__xludf.DUMMYFUNCTION("""COMPUTED_VALUE"""),"Boo2-3")</f>
        <v>Boo2-3</v>
      </c>
      <c r="C366" s="5">
        <f>IFERROR(__xludf.DUMMYFUNCTION("""COMPUTED_VALUE"""),5836.0)</f>
        <v>5836</v>
      </c>
      <c r="D366" s="5"/>
      <c r="E366" s="5"/>
      <c r="F366" s="5">
        <f>IFERROR(__xludf.DUMMYFUNCTION("""COMPUTED_VALUE"""),1.0)</f>
        <v>1</v>
      </c>
      <c r="G366" s="5"/>
      <c r="H366" s="5"/>
      <c r="I366" s="5"/>
      <c r="J366" s="5" t="str">
        <f>IFERROR(__xludf.DUMMYFUNCTION("""COMPUTED_VALUE"""),"CS77906")</f>
        <v>CS77906</v>
      </c>
      <c r="K366" s="5" t="str">
        <f>IFERROR(__xludf.DUMMYFUNCTION("""COMPUTED_VALUE"""),"55.86")</f>
        <v>55.86</v>
      </c>
      <c r="L366" s="5" t="str">
        <f>IFERROR(__xludf.DUMMYFUNCTION("""COMPUTED_VALUE"""),"13.51")</f>
        <v>13.51</v>
      </c>
      <c r="M366" s="5"/>
      <c r="N366" s="5">
        <f>IFERROR(__xludf.DUMMYFUNCTION("""COMPUTED_VALUE"""),23.0)</f>
        <v>23</v>
      </c>
      <c r="O366" s="5"/>
      <c r="P366" s="5"/>
      <c r="Q366" s="5" t="str">
        <f>IFERROR(__xludf.DUMMYFUNCTION("""COMPUTED_VALUE"""),"no")</f>
        <v>no</v>
      </c>
      <c r="R366" s="5" t="str">
        <f>IFERROR(__xludf.DUMMYFUNCTION("""COMPUTED_VALUE"""),"ONT")</f>
        <v>ONT</v>
      </c>
      <c r="S366" s="5" t="str">
        <f>IFERROR(__xludf.DUMMYFUNCTION("""COMPUTED_VALUE"""),"Flye_v2.9-b1768")</f>
        <v>Flye_v2.9-b1768</v>
      </c>
      <c r="T366" s="6"/>
      <c r="U366" s="6">
        <f>IFERROR(__xludf.DUMMYFUNCTION("""COMPUTED_VALUE"""),2024.0)</f>
        <v>2024</v>
      </c>
      <c r="V366" s="6" t="str">
        <f>IFERROR(__xludf.DUMMYFUNCTION("""COMPUTED_VALUE"""),"no")</f>
        <v>no</v>
      </c>
      <c r="W366" s="6"/>
      <c r="X366" s="5"/>
      <c r="Y366" s="5" t="str">
        <f>IFERROR(__xludf.DUMMYFUNCTION("""COMPUTED_VALUE"""),"unpublished")</f>
        <v>unpublished</v>
      </c>
      <c r="Z366" s="5"/>
      <c r="AA366" s="5"/>
      <c r="AB366" s="5"/>
    </row>
    <row r="367">
      <c r="A367" s="5">
        <f>IFERROR(__xludf.DUMMYFUNCTION("""COMPUTED_VALUE"""),100365.0)</f>
        <v>100365</v>
      </c>
      <c r="B367" s="5" t="str">
        <f>IFERROR(__xludf.DUMMYFUNCTION("""COMPUTED_VALUE"""),"Bur-0")</f>
        <v>Bur-0</v>
      </c>
      <c r="C367" s="5">
        <f>IFERROR(__xludf.DUMMYFUNCTION("""COMPUTED_VALUE"""),7058.0)</f>
        <v>7058</v>
      </c>
      <c r="D367" s="5"/>
      <c r="E367" s="5"/>
      <c r="F367" s="5">
        <f>IFERROR(__xludf.DUMMYFUNCTION("""COMPUTED_VALUE"""),1.0)</f>
        <v>1</v>
      </c>
      <c r="G367" s="5"/>
      <c r="H367" s="5"/>
      <c r="I367" s="5"/>
      <c r="J367" s="5" t="str">
        <f>IFERROR(__xludf.DUMMYFUNCTION("""COMPUTED_VALUE"""),"CS76734")</f>
        <v>CS76734</v>
      </c>
      <c r="K367" s="5" t="str">
        <f>IFERROR(__xludf.DUMMYFUNCTION("""COMPUTED_VALUE"""),"54.1")</f>
        <v>54.1</v>
      </c>
      <c r="L367" s="5" t="str">
        <f>IFERROR(__xludf.DUMMYFUNCTION("""COMPUTED_VALUE"""),"-6.2")</f>
        <v>-6.2</v>
      </c>
      <c r="M367" s="5"/>
      <c r="N367" s="5">
        <f>IFERROR(__xludf.DUMMYFUNCTION("""COMPUTED_VALUE"""),13.0)</f>
        <v>13</v>
      </c>
      <c r="O367" s="5"/>
      <c r="P367" s="5"/>
      <c r="Q367" s="5" t="str">
        <f>IFERROR(__xludf.DUMMYFUNCTION("""COMPUTED_VALUE"""),"no")</f>
        <v>no</v>
      </c>
      <c r="R367" s="5" t="str">
        <f>IFERROR(__xludf.DUMMYFUNCTION("""COMPUTED_VALUE"""),"ONT")</f>
        <v>ONT</v>
      </c>
      <c r="S367" s="5" t="str">
        <f>IFERROR(__xludf.DUMMYFUNCTION("""COMPUTED_VALUE"""),"nextDenovo_v2.5.0")</f>
        <v>nextDenovo_v2.5.0</v>
      </c>
      <c r="T367" s="6"/>
      <c r="U367" s="6">
        <f>IFERROR(__xludf.DUMMYFUNCTION("""COMPUTED_VALUE"""),2024.0)</f>
        <v>2024</v>
      </c>
      <c r="V367" s="6" t="str">
        <f>IFERROR(__xludf.DUMMYFUNCTION("""COMPUTED_VALUE"""),"no")</f>
        <v>no</v>
      </c>
      <c r="W367" s="6"/>
      <c r="X367" s="5"/>
      <c r="Y367" s="5" t="str">
        <f>IFERROR(__xludf.DUMMYFUNCTION("""COMPUTED_VALUE"""),"unpublished")</f>
        <v>unpublished</v>
      </c>
      <c r="Z367" s="5"/>
      <c r="AA367" s="5"/>
      <c r="AB367" s="5"/>
    </row>
    <row r="368">
      <c r="A368" s="5">
        <f>IFERROR(__xludf.DUMMYFUNCTION("""COMPUTED_VALUE"""),100366.0)</f>
        <v>100366</v>
      </c>
      <c r="B368" s="5" t="str">
        <f>IFERROR(__xludf.DUMMYFUNCTION("""COMPUTED_VALUE"""),"C24")</f>
        <v>C24</v>
      </c>
      <c r="C368" s="5">
        <f>IFERROR(__xludf.DUMMYFUNCTION("""COMPUTED_VALUE"""),6906.0)</f>
        <v>6906</v>
      </c>
      <c r="D368" s="5"/>
      <c r="E368" s="5"/>
      <c r="F368" s="5">
        <f>IFERROR(__xludf.DUMMYFUNCTION("""COMPUTED_VALUE"""),1.0)</f>
        <v>1</v>
      </c>
      <c r="G368" s="5"/>
      <c r="H368" s="5"/>
      <c r="I368" s="5"/>
      <c r="J368" s="5"/>
      <c r="K368" s="5">
        <f>IFERROR(__xludf.DUMMYFUNCTION("""COMPUTED_VALUE"""),40.2077)</f>
        <v>40.2077</v>
      </c>
      <c r="L368" s="5">
        <f>IFERROR(__xludf.DUMMYFUNCTION("""COMPUTED_VALUE"""),-8.42639)</f>
        <v>-8.42639</v>
      </c>
      <c r="M368" s="5"/>
      <c r="N368" s="5">
        <f>IFERROR(__xludf.DUMMYFUNCTION("""COMPUTED_VALUE"""),22.0)</f>
        <v>22</v>
      </c>
      <c r="O368" s="5"/>
      <c r="P368" s="5"/>
      <c r="Q368" s="5" t="str">
        <f>IFERROR(__xludf.DUMMYFUNCTION("""COMPUTED_VALUE"""),"no")</f>
        <v>no</v>
      </c>
      <c r="R368" s="5" t="str">
        <f>IFERROR(__xludf.DUMMYFUNCTION("""COMPUTED_VALUE"""),"ONT")</f>
        <v>ONT</v>
      </c>
      <c r="S368" s="5" t="str">
        <f>IFERROR(__xludf.DUMMYFUNCTION("""COMPUTED_VALUE"""),"Flye_v2.9-b1768")</f>
        <v>Flye_v2.9-b1768</v>
      </c>
      <c r="T368" s="6"/>
      <c r="U368" s="6">
        <f>IFERROR(__xludf.DUMMYFUNCTION("""COMPUTED_VALUE"""),2024.0)</f>
        <v>2024</v>
      </c>
      <c r="V368" s="6" t="str">
        <f>IFERROR(__xludf.DUMMYFUNCTION("""COMPUTED_VALUE"""),"no")</f>
        <v>no</v>
      </c>
      <c r="W368" s="6"/>
      <c r="X368" s="5"/>
      <c r="Y368" s="5" t="str">
        <f>IFERROR(__xludf.DUMMYFUNCTION("""COMPUTED_VALUE"""),"unpublished")</f>
        <v>unpublished</v>
      </c>
      <c r="Z368" s="5"/>
      <c r="AA368" s="5"/>
      <c r="AB368" s="5"/>
    </row>
    <row r="369">
      <c r="A369" s="5">
        <f>IFERROR(__xludf.DUMMYFUNCTION("""COMPUTED_VALUE"""),100367.0)</f>
        <v>100367</v>
      </c>
      <c r="B369" s="5" t="str">
        <f>IFERROR(__xludf.DUMMYFUNCTION("""COMPUTED_VALUE"""),"Castelfed-4-210")</f>
        <v>Castelfed-4-210</v>
      </c>
      <c r="C369" s="5">
        <f>IFERROR(__xludf.DUMMYFUNCTION("""COMPUTED_VALUE"""),9694.0)</f>
        <v>9694</v>
      </c>
      <c r="D369" s="5"/>
      <c r="E369" s="5"/>
      <c r="F369" s="5">
        <f>IFERROR(__xludf.DUMMYFUNCTION("""COMPUTED_VALUE"""),1.0)</f>
        <v>1</v>
      </c>
      <c r="G369" s="5"/>
      <c r="H369" s="5"/>
      <c r="I369" s="5"/>
      <c r="J369" s="5" t="str">
        <f>IFERROR(__xludf.DUMMYFUNCTION("""COMPUTED_VALUE"""),"CS78891")</f>
        <v>CS78891</v>
      </c>
      <c r="K369" s="5" t="str">
        <f>IFERROR(__xludf.DUMMYFUNCTION("""COMPUTED_VALUE"""),"46.3378")</f>
        <v>46.3378</v>
      </c>
      <c r="L369" s="14">
        <f>IFERROR(__xludf.DUMMYFUNCTION("""COMPUTED_VALUE"""),375776.0)</f>
        <v>375776</v>
      </c>
      <c r="M369" s="5"/>
      <c r="N369" s="5">
        <f>IFERROR(__xludf.DUMMYFUNCTION("""COMPUTED_VALUE"""),16.0)</f>
        <v>16</v>
      </c>
      <c r="O369" s="5"/>
      <c r="P369" s="5"/>
      <c r="Q369" s="5" t="str">
        <f>IFERROR(__xludf.DUMMYFUNCTION("""COMPUTED_VALUE"""),"no")</f>
        <v>no</v>
      </c>
      <c r="R369" s="5" t="str">
        <f>IFERROR(__xludf.DUMMYFUNCTION("""COMPUTED_VALUE"""),"ONT")</f>
        <v>ONT</v>
      </c>
      <c r="S369" s="5" t="str">
        <f>IFERROR(__xludf.DUMMYFUNCTION("""COMPUTED_VALUE"""),"Flye_v2.9-b1768")</f>
        <v>Flye_v2.9-b1768</v>
      </c>
      <c r="T369" s="6"/>
      <c r="U369" s="6">
        <f>IFERROR(__xludf.DUMMYFUNCTION("""COMPUTED_VALUE"""),2024.0)</f>
        <v>2024</v>
      </c>
      <c r="V369" s="6" t="str">
        <f>IFERROR(__xludf.DUMMYFUNCTION("""COMPUTED_VALUE"""),"no")</f>
        <v>no</v>
      </c>
      <c r="W369" s="6"/>
      <c r="X369" s="5"/>
      <c r="Y369" s="5" t="str">
        <f>IFERROR(__xludf.DUMMYFUNCTION("""COMPUTED_VALUE"""),"unpublished")</f>
        <v>unpublished</v>
      </c>
      <c r="Z369" s="5"/>
      <c r="AA369" s="5"/>
      <c r="AB369" s="5"/>
    </row>
    <row r="370">
      <c r="A370" s="5">
        <f>IFERROR(__xludf.DUMMYFUNCTION("""COMPUTED_VALUE"""),100368.0)</f>
        <v>100368</v>
      </c>
      <c r="B370" s="5" t="str">
        <f>IFERROR(__xludf.DUMMYFUNCTION("""COMPUTED_VALUE"""),"Castelfed-4-211")</f>
        <v>Castelfed-4-211</v>
      </c>
      <c r="C370" s="5">
        <f>IFERROR(__xludf.DUMMYFUNCTION("""COMPUTED_VALUE"""),9695.0)</f>
        <v>9695</v>
      </c>
      <c r="D370" s="5"/>
      <c r="E370" s="5"/>
      <c r="F370" s="5">
        <f>IFERROR(__xludf.DUMMYFUNCTION("""COMPUTED_VALUE"""),1.0)</f>
        <v>1</v>
      </c>
      <c r="G370" s="5"/>
      <c r="H370" s="5"/>
      <c r="I370" s="5"/>
      <c r="J370" s="5" t="str">
        <f>IFERROR(__xludf.DUMMYFUNCTION("""COMPUTED_VALUE"""),"CS78892")</f>
        <v>CS78892</v>
      </c>
      <c r="K370" s="5" t="str">
        <f>IFERROR(__xludf.DUMMYFUNCTION("""COMPUTED_VALUE"""),"46.3378")</f>
        <v>46.3378</v>
      </c>
      <c r="L370" s="14">
        <f>IFERROR(__xludf.DUMMYFUNCTION("""COMPUTED_VALUE"""),375776.0)</f>
        <v>375776</v>
      </c>
      <c r="M370" s="5"/>
      <c r="N370" s="5">
        <f>IFERROR(__xludf.DUMMYFUNCTION("""COMPUTED_VALUE"""),13.0)</f>
        <v>13</v>
      </c>
      <c r="O370" s="5"/>
      <c r="P370" s="5"/>
      <c r="Q370" s="5" t="str">
        <f>IFERROR(__xludf.DUMMYFUNCTION("""COMPUTED_VALUE"""),"no")</f>
        <v>no</v>
      </c>
      <c r="R370" s="5" t="str">
        <f>IFERROR(__xludf.DUMMYFUNCTION("""COMPUTED_VALUE"""),"ONT")</f>
        <v>ONT</v>
      </c>
      <c r="S370" s="5" t="str">
        <f>IFERROR(__xludf.DUMMYFUNCTION("""COMPUTED_VALUE"""),"Flye_v2.9-b1768")</f>
        <v>Flye_v2.9-b1768</v>
      </c>
      <c r="T370" s="6"/>
      <c r="U370" s="6">
        <f>IFERROR(__xludf.DUMMYFUNCTION("""COMPUTED_VALUE"""),2024.0)</f>
        <v>2024</v>
      </c>
      <c r="V370" s="6" t="str">
        <f>IFERROR(__xludf.DUMMYFUNCTION("""COMPUTED_VALUE"""),"no")</f>
        <v>no</v>
      </c>
      <c r="W370" s="6"/>
      <c r="X370" s="5"/>
      <c r="Y370" s="5" t="str">
        <f>IFERROR(__xludf.DUMMYFUNCTION("""COMPUTED_VALUE"""),"unpublished")</f>
        <v>unpublished</v>
      </c>
      <c r="Z370" s="5"/>
      <c r="AA370" s="5"/>
      <c r="AB370" s="5"/>
    </row>
    <row r="371">
      <c r="A371" s="5">
        <f>IFERROR(__xludf.DUMMYFUNCTION("""COMPUTED_VALUE"""),100369.0)</f>
        <v>100369</v>
      </c>
      <c r="B371" s="5" t="str">
        <f>IFERROR(__xludf.DUMMYFUNCTION("""COMPUTED_VALUE"""),"CATS-6")</f>
        <v>CATS-6</v>
      </c>
      <c r="C371" s="5">
        <f>IFERROR(__xludf.DUMMYFUNCTION("""COMPUTED_VALUE"""),9937.0)</f>
        <v>9937</v>
      </c>
      <c r="D371" s="5"/>
      <c r="E371" s="5"/>
      <c r="F371" s="5">
        <f>IFERROR(__xludf.DUMMYFUNCTION("""COMPUTED_VALUE"""),1.0)</f>
        <v>1</v>
      </c>
      <c r="G371" s="5"/>
      <c r="H371" s="5"/>
      <c r="I371" s="5"/>
      <c r="J371" s="5" t="str">
        <f>IFERROR(__xludf.DUMMYFUNCTION("""COMPUTED_VALUE"""),"CS76760")</f>
        <v>CS76760</v>
      </c>
      <c r="K371" s="5" t="str">
        <f>IFERROR(__xludf.DUMMYFUNCTION("""COMPUTED_VALUE"""),"50.79")</f>
        <v>50.79</v>
      </c>
      <c r="L371" s="5" t="str">
        <f>IFERROR(__xludf.DUMMYFUNCTION("""COMPUTED_VALUE"""),"2.69")</f>
        <v>2.69</v>
      </c>
      <c r="M371" s="5"/>
      <c r="N371" s="5">
        <f>IFERROR(__xludf.DUMMYFUNCTION("""COMPUTED_VALUE"""),14.0)</f>
        <v>14</v>
      </c>
      <c r="O371" s="5"/>
      <c r="P371" s="5"/>
      <c r="Q371" s="5" t="str">
        <f>IFERROR(__xludf.DUMMYFUNCTION("""COMPUTED_VALUE"""),"no")</f>
        <v>no</v>
      </c>
      <c r="R371" s="5" t="str">
        <f>IFERROR(__xludf.DUMMYFUNCTION("""COMPUTED_VALUE"""),"ONT")</f>
        <v>ONT</v>
      </c>
      <c r="S371" s="5" t="str">
        <f>IFERROR(__xludf.DUMMYFUNCTION("""COMPUTED_VALUE"""),"Flye_v2.9-b1768")</f>
        <v>Flye_v2.9-b1768</v>
      </c>
      <c r="T371" s="6"/>
      <c r="U371" s="6">
        <f>IFERROR(__xludf.DUMMYFUNCTION("""COMPUTED_VALUE"""),2024.0)</f>
        <v>2024</v>
      </c>
      <c r="V371" s="6" t="str">
        <f>IFERROR(__xludf.DUMMYFUNCTION("""COMPUTED_VALUE"""),"no")</f>
        <v>no</v>
      </c>
      <c r="W371" s="6"/>
      <c r="X371" s="5"/>
      <c r="Y371" s="5" t="str">
        <f>IFERROR(__xludf.DUMMYFUNCTION("""COMPUTED_VALUE"""),"unpublished")</f>
        <v>unpublished</v>
      </c>
      <c r="Z371" s="5"/>
      <c r="AA371" s="5"/>
      <c r="AB371" s="5"/>
    </row>
    <row r="372">
      <c r="A372" s="5">
        <f>IFERROR(__xludf.DUMMYFUNCTION("""COMPUTED_VALUE"""),100370.0)</f>
        <v>100370</v>
      </c>
      <c r="B372" s="5" t="str">
        <f>IFERROR(__xludf.DUMMYFUNCTION("""COMPUTED_VALUE"""),"Ct-1")</f>
        <v>Ct-1</v>
      </c>
      <c r="C372" s="5">
        <f>IFERROR(__xludf.DUMMYFUNCTION("""COMPUTED_VALUE"""),7067.0)</f>
        <v>7067</v>
      </c>
      <c r="D372" s="5"/>
      <c r="E372" s="5"/>
      <c r="F372" s="5">
        <f>IFERROR(__xludf.DUMMYFUNCTION("""COMPUTED_VALUE"""),1.0)</f>
        <v>1</v>
      </c>
      <c r="G372" s="5"/>
      <c r="H372" s="5"/>
      <c r="I372" s="5"/>
      <c r="J372" s="5" t="str">
        <f>IFERROR(__xludf.DUMMYFUNCTION("""COMPUTED_VALUE"""),"CS76786")</f>
        <v>CS76786</v>
      </c>
      <c r="K372" s="5" t="str">
        <f>IFERROR(__xludf.DUMMYFUNCTION("""COMPUTED_VALUE"""),"37.3")</f>
        <v>37.3</v>
      </c>
      <c r="L372" s="5">
        <f>IFERROR(__xludf.DUMMYFUNCTION("""COMPUTED_VALUE"""),15.0)</f>
        <v>15</v>
      </c>
      <c r="M372" s="5"/>
      <c r="N372" s="5">
        <f>IFERROR(__xludf.DUMMYFUNCTION("""COMPUTED_VALUE"""),18.0)</f>
        <v>18</v>
      </c>
      <c r="O372" s="5"/>
      <c r="P372" s="5"/>
      <c r="Q372" s="5" t="str">
        <f>IFERROR(__xludf.DUMMYFUNCTION("""COMPUTED_VALUE"""),"no")</f>
        <v>no</v>
      </c>
      <c r="R372" s="5" t="str">
        <f>IFERROR(__xludf.DUMMYFUNCTION("""COMPUTED_VALUE"""),"ONT")</f>
        <v>ONT</v>
      </c>
      <c r="S372" s="5" t="str">
        <f>IFERROR(__xludf.DUMMYFUNCTION("""COMPUTED_VALUE"""),"Flye_v2.9-b1768")</f>
        <v>Flye_v2.9-b1768</v>
      </c>
      <c r="T372" s="6"/>
      <c r="U372" s="6">
        <f>IFERROR(__xludf.DUMMYFUNCTION("""COMPUTED_VALUE"""),2024.0)</f>
        <v>2024</v>
      </c>
      <c r="V372" s="6" t="str">
        <f>IFERROR(__xludf.DUMMYFUNCTION("""COMPUTED_VALUE"""),"no")</f>
        <v>no</v>
      </c>
      <c r="W372" s="6"/>
      <c r="X372" s="5"/>
      <c r="Y372" s="5" t="str">
        <f>IFERROR(__xludf.DUMMYFUNCTION("""COMPUTED_VALUE"""),"unpublished")</f>
        <v>unpublished</v>
      </c>
      <c r="Z372" s="5"/>
      <c r="AA372" s="5"/>
      <c r="AB372" s="5"/>
    </row>
    <row r="373">
      <c r="A373" s="5">
        <f>IFERROR(__xludf.DUMMYFUNCTION("""COMPUTED_VALUE"""),100371.0)</f>
        <v>100371</v>
      </c>
      <c r="B373" s="5" t="str">
        <f>IFERROR(__xludf.DUMMYFUNCTION("""COMPUTED_VALUE"""),"UKSE06-491")</f>
        <v>UKSE06-491</v>
      </c>
      <c r="C373" s="5">
        <f>IFERROR(__xludf.DUMMYFUNCTION("""COMPUTED_VALUE"""),5249.0)</f>
        <v>5249</v>
      </c>
      <c r="D373" s="5"/>
      <c r="E373" s="5"/>
      <c r="F373" s="5">
        <f>IFERROR(__xludf.DUMMYFUNCTION("""COMPUTED_VALUE"""),1.0)</f>
        <v>1</v>
      </c>
      <c r="G373" s="5"/>
      <c r="H373" s="5"/>
      <c r="I373" s="5"/>
      <c r="J373" s="5" t="str">
        <f>IFERROR(__xludf.DUMMYFUNCTION("""COMPUTED_VALUE"""),"CS79003")</f>
        <v>CS79003</v>
      </c>
      <c r="K373" s="5" t="str">
        <f>IFERROR(__xludf.DUMMYFUNCTION("""COMPUTED_VALUE"""),"51.2")</f>
        <v>51.2</v>
      </c>
      <c r="L373" s="5" t="str">
        <f>IFERROR(__xludf.DUMMYFUNCTION("""COMPUTED_VALUE"""),"0.3")</f>
        <v>0.3</v>
      </c>
      <c r="M373" s="5"/>
      <c r="N373" s="5">
        <f>IFERROR(__xludf.DUMMYFUNCTION("""COMPUTED_VALUE"""),14.0)</f>
        <v>14</v>
      </c>
      <c r="O373" s="5"/>
      <c r="P373" s="5"/>
      <c r="Q373" s="5" t="str">
        <f>IFERROR(__xludf.DUMMYFUNCTION("""COMPUTED_VALUE"""),"no")</f>
        <v>no</v>
      </c>
      <c r="R373" s="5" t="str">
        <f>IFERROR(__xludf.DUMMYFUNCTION("""COMPUTED_VALUE"""),"ONT")</f>
        <v>ONT</v>
      </c>
      <c r="S373" s="5" t="str">
        <f>IFERROR(__xludf.DUMMYFUNCTION("""COMPUTED_VALUE"""),"Flye_v2.9-b1768")</f>
        <v>Flye_v2.9-b1768</v>
      </c>
      <c r="T373" s="6"/>
      <c r="U373" s="6">
        <f>IFERROR(__xludf.DUMMYFUNCTION("""COMPUTED_VALUE"""),2024.0)</f>
        <v>2024</v>
      </c>
      <c r="V373" s="6" t="str">
        <f>IFERROR(__xludf.DUMMYFUNCTION("""COMPUTED_VALUE"""),"no")</f>
        <v>no</v>
      </c>
      <c r="W373" s="6"/>
      <c r="X373" s="5"/>
      <c r="Y373" s="5" t="str">
        <f>IFERROR(__xludf.DUMMYFUNCTION("""COMPUTED_VALUE"""),"unpublished")</f>
        <v>unpublished</v>
      </c>
      <c r="Z373" s="5"/>
      <c r="AA373" s="5"/>
      <c r="AB373" s="5"/>
    </row>
    <row r="374">
      <c r="A374" s="5">
        <f>IFERROR(__xludf.DUMMYFUNCTION("""COMPUTED_VALUE"""),100372.0)</f>
        <v>100372</v>
      </c>
      <c r="B374" s="5" t="str">
        <f>IFERROR(__xludf.DUMMYFUNCTION("""COMPUTED_VALUE"""),"Di-G")</f>
        <v>Di-G</v>
      </c>
      <c r="C374" s="5">
        <f>IFERROR(__xludf.DUMMYFUNCTION("""COMPUTED_VALUE"""),7096.0)</f>
        <v>7096</v>
      </c>
      <c r="D374" s="5"/>
      <c r="E374" s="5"/>
      <c r="F374" s="5">
        <f>IFERROR(__xludf.DUMMYFUNCTION("""COMPUTED_VALUE"""),1.0)</f>
        <v>1</v>
      </c>
      <c r="G374" s="5"/>
      <c r="H374" s="5"/>
      <c r="I374" s="5"/>
      <c r="J374" s="5" t="str">
        <f>IFERROR(__xludf.DUMMYFUNCTION("""COMPUTED_VALUE"""),"CS76472")</f>
        <v>CS76472</v>
      </c>
      <c r="K374" s="5" t="str">
        <f>IFERROR(__xludf.DUMMYFUNCTION("""COMPUTED_VALUE"""),"47.3239")</f>
        <v>47.3239</v>
      </c>
      <c r="L374" s="5" t="str">
        <f>IFERROR(__xludf.DUMMYFUNCTION("""COMPUTED_VALUE"""),"5.04278")</f>
        <v>5.04278</v>
      </c>
      <c r="M374" s="5"/>
      <c r="N374" s="5">
        <f>IFERROR(__xludf.DUMMYFUNCTION("""COMPUTED_VALUE"""),12.0)</f>
        <v>12</v>
      </c>
      <c r="O374" s="5"/>
      <c r="P374" s="5"/>
      <c r="Q374" s="5" t="str">
        <f>IFERROR(__xludf.DUMMYFUNCTION("""COMPUTED_VALUE"""),"no")</f>
        <v>no</v>
      </c>
      <c r="R374" s="5" t="str">
        <f>IFERROR(__xludf.DUMMYFUNCTION("""COMPUTED_VALUE"""),"ONT")</f>
        <v>ONT</v>
      </c>
      <c r="S374" s="5" t="str">
        <f>IFERROR(__xludf.DUMMYFUNCTION("""COMPUTED_VALUE"""),"nextDenovo_v2.5.0")</f>
        <v>nextDenovo_v2.5.0</v>
      </c>
      <c r="T374" s="6"/>
      <c r="U374" s="6">
        <f>IFERROR(__xludf.DUMMYFUNCTION("""COMPUTED_VALUE"""),2024.0)</f>
        <v>2024</v>
      </c>
      <c r="V374" s="6" t="str">
        <f>IFERROR(__xludf.DUMMYFUNCTION("""COMPUTED_VALUE"""),"no")</f>
        <v>no</v>
      </c>
      <c r="W374" s="6"/>
      <c r="X374" s="5"/>
      <c r="Y374" s="5" t="str">
        <f>IFERROR(__xludf.DUMMYFUNCTION("""COMPUTED_VALUE"""),"unpublished")</f>
        <v>unpublished</v>
      </c>
      <c r="Z374" s="5"/>
      <c r="AA374" s="5"/>
      <c r="AB374" s="5"/>
    </row>
    <row r="375">
      <c r="A375" s="5">
        <f>IFERROR(__xludf.DUMMYFUNCTION("""COMPUTED_VALUE"""),100373.0)</f>
        <v>100373</v>
      </c>
      <c r="B375" s="5" t="str">
        <f>IFERROR(__xludf.DUMMYFUNCTION("""COMPUTED_VALUE"""),"Dolna-1-40")</f>
        <v>Dolna-1-40</v>
      </c>
      <c r="C375" s="5">
        <f>IFERROR(__xludf.DUMMYFUNCTION("""COMPUTED_VALUE"""),9712.0)</f>
        <v>9712</v>
      </c>
      <c r="D375" s="5"/>
      <c r="E375" s="5"/>
      <c r="F375" s="5">
        <f>IFERROR(__xludf.DUMMYFUNCTION("""COMPUTED_VALUE"""),1.0)</f>
        <v>1</v>
      </c>
      <c r="G375" s="5"/>
      <c r="H375" s="5"/>
      <c r="I375" s="5"/>
      <c r="J375" s="5" t="str">
        <f>IFERROR(__xludf.DUMMYFUNCTION("""COMPUTED_VALUE"""),"CS76805")</f>
        <v>CS76805</v>
      </c>
      <c r="K375" s="5" t="str">
        <f>IFERROR(__xludf.DUMMYFUNCTION("""COMPUTED_VALUE"""),"42.32")</f>
        <v>42.32</v>
      </c>
      <c r="L375" s="12">
        <f>IFERROR(__xludf.DUMMYFUNCTION("""COMPUTED_VALUE"""),45314.0)</f>
        <v>45314</v>
      </c>
      <c r="M375" s="5"/>
      <c r="N375" s="5">
        <f>IFERROR(__xludf.DUMMYFUNCTION("""COMPUTED_VALUE"""),26.0)</f>
        <v>26</v>
      </c>
      <c r="O375" s="5"/>
      <c r="P375" s="5"/>
      <c r="Q375" s="5" t="str">
        <f>IFERROR(__xludf.DUMMYFUNCTION("""COMPUTED_VALUE"""),"no")</f>
        <v>no</v>
      </c>
      <c r="R375" s="5" t="str">
        <f>IFERROR(__xludf.DUMMYFUNCTION("""COMPUTED_VALUE"""),"ONT")</f>
        <v>ONT</v>
      </c>
      <c r="S375" s="5" t="str">
        <f>IFERROR(__xludf.DUMMYFUNCTION("""COMPUTED_VALUE"""),"Flye_v2.9-b1768")</f>
        <v>Flye_v2.9-b1768</v>
      </c>
      <c r="T375" s="6"/>
      <c r="U375" s="6">
        <f>IFERROR(__xludf.DUMMYFUNCTION("""COMPUTED_VALUE"""),2024.0)</f>
        <v>2024</v>
      </c>
      <c r="V375" s="6" t="str">
        <f>IFERROR(__xludf.DUMMYFUNCTION("""COMPUTED_VALUE"""),"no")</f>
        <v>no</v>
      </c>
      <c r="W375" s="6"/>
      <c r="X375" s="5"/>
      <c r="Y375" s="5" t="str">
        <f>IFERROR(__xludf.DUMMYFUNCTION("""COMPUTED_VALUE"""),"unpublished")</f>
        <v>unpublished</v>
      </c>
      <c r="Z375" s="5"/>
      <c r="AA375" s="5"/>
      <c r="AB375" s="5"/>
    </row>
    <row r="376">
      <c r="A376" s="5">
        <f>IFERROR(__xludf.DUMMYFUNCTION("""COMPUTED_VALUE"""),100374.0)</f>
        <v>100374</v>
      </c>
      <c r="B376" s="5" t="str">
        <f>IFERROR(__xludf.DUMMYFUNCTION("""COMPUTED_VALUE"""),"Eden-5")</f>
        <v>Eden-5</v>
      </c>
      <c r="C376" s="5">
        <f>IFERROR(__xludf.DUMMYFUNCTION("""COMPUTED_VALUE"""),6010.0)</f>
        <v>6010</v>
      </c>
      <c r="D376" s="5"/>
      <c r="E376" s="5"/>
      <c r="F376" s="5">
        <f>IFERROR(__xludf.DUMMYFUNCTION("""COMPUTED_VALUE"""),1.0)</f>
        <v>1</v>
      </c>
      <c r="G376" s="5"/>
      <c r="H376" s="5"/>
      <c r="I376" s="5"/>
      <c r="J376" s="5" t="str">
        <f>IFERROR(__xludf.DUMMYFUNCTION("""COMPUTED_VALUE"""),"CS78000")</f>
        <v>CS78000</v>
      </c>
      <c r="K376" s="5" t="str">
        <f>IFERROR(__xludf.DUMMYFUNCTION("""COMPUTED_VALUE"""),"62.877")</f>
        <v>62.877</v>
      </c>
      <c r="L376" s="5" t="str">
        <f>IFERROR(__xludf.DUMMYFUNCTION("""COMPUTED_VALUE"""),"18.177")</f>
        <v>18.177</v>
      </c>
      <c r="M376" s="5"/>
      <c r="N376" s="5">
        <f>IFERROR(__xludf.DUMMYFUNCTION("""COMPUTED_VALUE"""),19.0)</f>
        <v>19</v>
      </c>
      <c r="O376" s="5"/>
      <c r="P376" s="5"/>
      <c r="Q376" s="5" t="str">
        <f>IFERROR(__xludf.DUMMYFUNCTION("""COMPUTED_VALUE"""),"no")</f>
        <v>no</v>
      </c>
      <c r="R376" s="5" t="str">
        <f>IFERROR(__xludf.DUMMYFUNCTION("""COMPUTED_VALUE"""),"ONT")</f>
        <v>ONT</v>
      </c>
      <c r="S376" s="5" t="str">
        <f>IFERROR(__xludf.DUMMYFUNCTION("""COMPUTED_VALUE"""),"Flye_v2.9-b1768")</f>
        <v>Flye_v2.9-b1768</v>
      </c>
      <c r="T376" s="6"/>
      <c r="U376" s="6">
        <f>IFERROR(__xludf.DUMMYFUNCTION("""COMPUTED_VALUE"""),2024.0)</f>
        <v>2024</v>
      </c>
      <c r="V376" s="6" t="str">
        <f>IFERROR(__xludf.DUMMYFUNCTION("""COMPUTED_VALUE"""),"no")</f>
        <v>no</v>
      </c>
      <c r="W376" s="6"/>
      <c r="X376" s="5"/>
      <c r="Y376" s="5" t="str">
        <f>IFERROR(__xludf.DUMMYFUNCTION("""COMPUTED_VALUE"""),"unpublished")</f>
        <v>unpublished</v>
      </c>
      <c r="Z376" s="5"/>
      <c r="AA376" s="5"/>
      <c r="AB376" s="5"/>
    </row>
    <row r="377">
      <c r="A377" s="5">
        <f>IFERROR(__xludf.DUMMYFUNCTION("""COMPUTED_VALUE"""),100375.0)</f>
        <v>100375</v>
      </c>
      <c r="B377" s="5" t="str">
        <f>IFERROR(__xludf.DUMMYFUNCTION("""COMPUTED_VALUE"""),"Eds-9")</f>
        <v>Eds-9</v>
      </c>
      <c r="C377" s="5">
        <f>IFERROR(__xludf.DUMMYFUNCTION("""COMPUTED_VALUE"""),6017.0)</f>
        <v>6017</v>
      </c>
      <c r="D377" s="5"/>
      <c r="E377" s="5"/>
      <c r="F377" s="5">
        <f>IFERROR(__xludf.DUMMYFUNCTION("""COMPUTED_VALUE"""),1.0)</f>
        <v>1</v>
      </c>
      <c r="G377" s="5"/>
      <c r="H377" s="5"/>
      <c r="I377" s="5"/>
      <c r="J377" s="5" t="str">
        <f>IFERROR(__xludf.DUMMYFUNCTION("""COMPUTED_VALUE"""),"CS76835")</f>
        <v>CS76835</v>
      </c>
      <c r="K377" s="5" t="str">
        <f>IFERROR(__xludf.DUMMYFUNCTION("""COMPUTED_VALUE"""),"62.9")</f>
        <v>62.9</v>
      </c>
      <c r="L377" s="12">
        <f>IFERROR(__xludf.DUMMYFUNCTION("""COMPUTED_VALUE"""),45400.0)</f>
        <v>45400</v>
      </c>
      <c r="M377" s="5"/>
      <c r="N377" s="5">
        <f>IFERROR(__xludf.DUMMYFUNCTION("""COMPUTED_VALUE"""),20.0)</f>
        <v>20</v>
      </c>
      <c r="O377" s="5"/>
      <c r="P377" s="5"/>
      <c r="Q377" s="5" t="str">
        <f>IFERROR(__xludf.DUMMYFUNCTION("""COMPUTED_VALUE"""),"no")</f>
        <v>no</v>
      </c>
      <c r="R377" s="5" t="str">
        <f>IFERROR(__xludf.DUMMYFUNCTION("""COMPUTED_VALUE"""),"ONT")</f>
        <v>ONT</v>
      </c>
      <c r="S377" s="5" t="str">
        <f>IFERROR(__xludf.DUMMYFUNCTION("""COMPUTED_VALUE"""),"nextDenovo_v2.5.0")</f>
        <v>nextDenovo_v2.5.0</v>
      </c>
      <c r="T377" s="6"/>
      <c r="U377" s="6">
        <f>IFERROR(__xludf.DUMMYFUNCTION("""COMPUTED_VALUE"""),2024.0)</f>
        <v>2024</v>
      </c>
      <c r="V377" s="6" t="str">
        <f>IFERROR(__xludf.DUMMYFUNCTION("""COMPUTED_VALUE"""),"no")</f>
        <v>no</v>
      </c>
      <c r="W377" s="6"/>
      <c r="X377" s="5"/>
      <c r="Y377" s="5" t="str">
        <f>IFERROR(__xludf.DUMMYFUNCTION("""COMPUTED_VALUE"""),"unpublished")</f>
        <v>unpublished</v>
      </c>
      <c r="Z377" s="5"/>
      <c r="AA377" s="5"/>
      <c r="AB377" s="5"/>
    </row>
    <row r="378">
      <c r="A378" s="5">
        <f>IFERROR(__xludf.DUMMYFUNCTION("""COMPUTED_VALUE"""),100376.0)</f>
        <v>100376</v>
      </c>
      <c r="B378" s="5" t="str">
        <f>IFERROR(__xludf.DUMMYFUNCTION("""COMPUTED_VALUE"""),"Fri-1")</f>
        <v>Fri-1</v>
      </c>
      <c r="C378" s="5">
        <f>IFERROR(__xludf.DUMMYFUNCTION("""COMPUTED_VALUE"""),9381.0)</f>
        <v>9381</v>
      </c>
      <c r="D378" s="5"/>
      <c r="E378" s="5"/>
      <c r="F378" s="5">
        <f>IFERROR(__xludf.DUMMYFUNCTION("""COMPUTED_VALUE"""),1.0)</f>
        <v>1</v>
      </c>
      <c r="G378" s="5"/>
      <c r="H378" s="5"/>
      <c r="I378" s="5"/>
      <c r="J378" s="5" t="str">
        <f>IFERROR(__xludf.DUMMYFUNCTION("""COMPUTED_VALUE"""),"CS76868")</f>
        <v>CS76868</v>
      </c>
      <c r="K378" s="5" t="str">
        <f>IFERROR(__xludf.DUMMYFUNCTION("""COMPUTED_VALUE"""),"55.8106")</f>
        <v>55.8106</v>
      </c>
      <c r="L378" s="5" t="str">
        <f>IFERROR(__xludf.DUMMYFUNCTION("""COMPUTED_VALUE"""),"14.2091")</f>
        <v>14.2091</v>
      </c>
      <c r="M378" s="5"/>
      <c r="N378" s="5">
        <f>IFERROR(__xludf.DUMMYFUNCTION("""COMPUTED_VALUE"""),16.0)</f>
        <v>16</v>
      </c>
      <c r="O378" s="5"/>
      <c r="P378" s="5"/>
      <c r="Q378" s="5" t="str">
        <f>IFERROR(__xludf.DUMMYFUNCTION("""COMPUTED_VALUE"""),"no")</f>
        <v>no</v>
      </c>
      <c r="R378" s="5" t="str">
        <f>IFERROR(__xludf.DUMMYFUNCTION("""COMPUTED_VALUE"""),"ONT")</f>
        <v>ONT</v>
      </c>
      <c r="S378" s="5" t="str">
        <f>IFERROR(__xludf.DUMMYFUNCTION("""COMPUTED_VALUE"""),"nextDenovo_v2.5.0")</f>
        <v>nextDenovo_v2.5.0</v>
      </c>
      <c r="T378" s="6"/>
      <c r="U378" s="6">
        <f>IFERROR(__xludf.DUMMYFUNCTION("""COMPUTED_VALUE"""),2024.0)</f>
        <v>2024</v>
      </c>
      <c r="V378" s="6" t="str">
        <f>IFERROR(__xludf.DUMMYFUNCTION("""COMPUTED_VALUE"""),"no")</f>
        <v>no</v>
      </c>
      <c r="W378" s="6"/>
      <c r="X378" s="5"/>
      <c r="Y378" s="5" t="str">
        <f>IFERROR(__xludf.DUMMYFUNCTION("""COMPUTED_VALUE"""),"unpublished")</f>
        <v>unpublished</v>
      </c>
      <c r="Z378" s="5"/>
      <c r="AA378" s="5"/>
      <c r="AB378" s="5"/>
    </row>
    <row r="379">
      <c r="A379" s="5">
        <f>IFERROR(__xludf.DUMMYFUNCTION("""COMPUTED_VALUE"""),100377.0)</f>
        <v>100377</v>
      </c>
      <c r="B379" s="5" t="str">
        <f>IFERROR(__xludf.DUMMYFUNCTION("""COMPUTED_VALUE"""),"IP-Her-12")</f>
        <v>IP-Her-12</v>
      </c>
      <c r="C379" s="5">
        <f>IFERROR(__xludf.DUMMYFUNCTION("""COMPUTED_VALUE"""),9545.0)</f>
        <v>9545</v>
      </c>
      <c r="D379" s="5"/>
      <c r="E379" s="5"/>
      <c r="F379" s="5">
        <f>IFERROR(__xludf.DUMMYFUNCTION("""COMPUTED_VALUE"""),1.0)</f>
        <v>1</v>
      </c>
      <c r="G379" s="5"/>
      <c r="H379" s="5"/>
      <c r="I379" s="5"/>
      <c r="J379" s="5" t="str">
        <f>IFERROR(__xludf.DUMMYFUNCTION("""COMPUTED_VALUE"""),"CS76920")</f>
        <v>CS76920</v>
      </c>
      <c r="K379" s="5" t="str">
        <f>IFERROR(__xludf.DUMMYFUNCTION("""COMPUTED_VALUE"""),"39.4")</f>
        <v>39.4</v>
      </c>
      <c r="L379" s="5" t="str">
        <f>IFERROR(__xludf.DUMMYFUNCTION("""COMPUTED_VALUE"""),"-5.78")</f>
        <v>-5.78</v>
      </c>
      <c r="M379" s="5"/>
      <c r="N379" s="5">
        <f>IFERROR(__xludf.DUMMYFUNCTION("""COMPUTED_VALUE"""),16.0)</f>
        <v>16</v>
      </c>
      <c r="O379" s="5"/>
      <c r="P379" s="5"/>
      <c r="Q379" s="5" t="str">
        <f>IFERROR(__xludf.DUMMYFUNCTION("""COMPUTED_VALUE"""),"no")</f>
        <v>no</v>
      </c>
      <c r="R379" s="5" t="str">
        <f>IFERROR(__xludf.DUMMYFUNCTION("""COMPUTED_VALUE"""),"ONT")</f>
        <v>ONT</v>
      </c>
      <c r="S379" s="5" t="str">
        <f>IFERROR(__xludf.DUMMYFUNCTION("""COMPUTED_VALUE"""),"Flye_v2.9-b1768")</f>
        <v>Flye_v2.9-b1768</v>
      </c>
      <c r="T379" s="6"/>
      <c r="U379" s="6">
        <f>IFERROR(__xludf.DUMMYFUNCTION("""COMPUTED_VALUE"""),2024.0)</f>
        <v>2024</v>
      </c>
      <c r="V379" s="6" t="str">
        <f>IFERROR(__xludf.DUMMYFUNCTION("""COMPUTED_VALUE"""),"no")</f>
        <v>no</v>
      </c>
      <c r="W379" s="6"/>
      <c r="X379" s="5"/>
      <c r="Y379" s="5" t="str">
        <f>IFERROR(__xludf.DUMMYFUNCTION("""COMPUTED_VALUE"""),"unpublished")</f>
        <v>unpublished</v>
      </c>
      <c r="Z379" s="5"/>
      <c r="AA379" s="5"/>
      <c r="AB379" s="5"/>
    </row>
    <row r="380">
      <c r="A380" s="5">
        <f>IFERROR(__xludf.DUMMYFUNCTION("""COMPUTED_VALUE"""),100378.0)</f>
        <v>100378</v>
      </c>
      <c r="B380" s="5" t="str">
        <f>IFERROR(__xludf.DUMMYFUNCTION("""COMPUTED_VALUE"""),"IP-Hum-2")</f>
        <v>IP-Hum-2</v>
      </c>
      <c r="C380" s="5">
        <f>IFERROR(__xludf.DUMMYFUNCTION("""COMPUTED_VALUE"""),9549.0)</f>
        <v>9549</v>
      </c>
      <c r="D380" s="5"/>
      <c r="E380" s="5"/>
      <c r="F380" s="5">
        <f>IFERROR(__xludf.DUMMYFUNCTION("""COMPUTED_VALUE"""),1.0)</f>
        <v>1</v>
      </c>
      <c r="G380" s="5"/>
      <c r="H380" s="5"/>
      <c r="I380" s="5"/>
      <c r="J380" s="5" t="str">
        <f>IFERROR(__xludf.DUMMYFUNCTION("""COMPUTED_VALUE"""),"CS76943")</f>
        <v>CS76943</v>
      </c>
      <c r="K380" s="5" t="str">
        <f>IFERROR(__xludf.DUMMYFUNCTION("""COMPUTED_VALUE"""),"42.23")</f>
        <v>42.23</v>
      </c>
      <c r="L380" s="5" t="str">
        <f>IFERROR(__xludf.DUMMYFUNCTION("""COMPUTED_VALUE"""),"-3.69")</f>
        <v>-3.69</v>
      </c>
      <c r="M380" s="5"/>
      <c r="N380" s="5">
        <f>IFERROR(__xludf.DUMMYFUNCTION("""COMPUTED_VALUE"""),20.0)</f>
        <v>20</v>
      </c>
      <c r="O380" s="5"/>
      <c r="P380" s="5"/>
      <c r="Q380" s="5" t="str">
        <f>IFERROR(__xludf.DUMMYFUNCTION("""COMPUTED_VALUE"""),"no")</f>
        <v>no</v>
      </c>
      <c r="R380" s="5" t="str">
        <f>IFERROR(__xludf.DUMMYFUNCTION("""COMPUTED_VALUE"""),"ONT")</f>
        <v>ONT</v>
      </c>
      <c r="S380" s="5" t="str">
        <f>IFERROR(__xludf.DUMMYFUNCTION("""COMPUTED_VALUE"""),"Flye_v2.9-b1768")</f>
        <v>Flye_v2.9-b1768</v>
      </c>
      <c r="T380" s="6"/>
      <c r="U380" s="6">
        <f>IFERROR(__xludf.DUMMYFUNCTION("""COMPUTED_VALUE"""),2024.0)</f>
        <v>2024</v>
      </c>
      <c r="V380" s="6" t="str">
        <f>IFERROR(__xludf.DUMMYFUNCTION("""COMPUTED_VALUE"""),"no")</f>
        <v>no</v>
      </c>
      <c r="W380" s="6"/>
      <c r="X380" s="5"/>
      <c r="Y380" s="5" t="str">
        <f>IFERROR(__xludf.DUMMYFUNCTION("""COMPUTED_VALUE"""),"unpublished")</f>
        <v>unpublished</v>
      </c>
      <c r="Z380" s="5"/>
      <c r="AA380" s="5"/>
      <c r="AB380" s="5"/>
    </row>
    <row r="381">
      <c r="A381" s="5">
        <f>IFERROR(__xludf.DUMMYFUNCTION("""COMPUTED_VALUE"""),100379.0)</f>
        <v>100379</v>
      </c>
      <c r="B381" s="5" t="str">
        <f>IFERROR(__xludf.DUMMYFUNCTION("""COMPUTED_VALUE"""),"IP-Nog-17")</f>
        <v>IP-Nog-17</v>
      </c>
      <c r="C381" s="5">
        <f>IFERROR(__xludf.DUMMYFUNCTION("""COMPUTED_VALUE"""),9564.0)</f>
        <v>9564</v>
      </c>
      <c r="D381" s="5"/>
      <c r="E381" s="5"/>
      <c r="F381" s="5">
        <f>IFERROR(__xludf.DUMMYFUNCTION("""COMPUTED_VALUE"""),1.0)</f>
        <v>1</v>
      </c>
      <c r="G381" s="5"/>
      <c r="H381" s="5"/>
      <c r="I381" s="5"/>
      <c r="J381" s="5" t="str">
        <f>IFERROR(__xludf.DUMMYFUNCTION("""COMPUTED_VALUE"""),"CS77129")</f>
        <v>CS77129</v>
      </c>
      <c r="K381" s="5" t="str">
        <f>IFERROR(__xludf.DUMMYFUNCTION("""COMPUTED_VALUE"""),"40.45")</f>
        <v>40.45</v>
      </c>
      <c r="L381" s="5" t="str">
        <f>IFERROR(__xludf.DUMMYFUNCTION("""COMPUTED_VALUE"""),"-1.6")</f>
        <v>-1.6</v>
      </c>
      <c r="M381" s="5"/>
      <c r="N381" s="5">
        <f>IFERROR(__xludf.DUMMYFUNCTION("""COMPUTED_VALUE"""),67.0)</f>
        <v>67</v>
      </c>
      <c r="O381" s="5"/>
      <c r="P381" s="5"/>
      <c r="Q381" s="5" t="str">
        <f>IFERROR(__xludf.DUMMYFUNCTION("""COMPUTED_VALUE"""),"no")</f>
        <v>no</v>
      </c>
      <c r="R381" s="5" t="str">
        <f>IFERROR(__xludf.DUMMYFUNCTION("""COMPUTED_VALUE"""),"ONT")</f>
        <v>ONT</v>
      </c>
      <c r="S381" s="5" t="str">
        <f>IFERROR(__xludf.DUMMYFUNCTION("""COMPUTED_VALUE"""),"Flye_v2.9-b1768")</f>
        <v>Flye_v2.9-b1768</v>
      </c>
      <c r="T381" s="6"/>
      <c r="U381" s="6">
        <f>IFERROR(__xludf.DUMMYFUNCTION("""COMPUTED_VALUE"""),2024.0)</f>
        <v>2024</v>
      </c>
      <c r="V381" s="6" t="str">
        <f>IFERROR(__xludf.DUMMYFUNCTION("""COMPUTED_VALUE"""),"no")</f>
        <v>no</v>
      </c>
      <c r="W381" s="6"/>
      <c r="X381" s="5"/>
      <c r="Y381" s="5" t="str">
        <f>IFERROR(__xludf.DUMMYFUNCTION("""COMPUTED_VALUE"""),"unpublished")</f>
        <v>unpublished</v>
      </c>
      <c r="Z381" s="5"/>
      <c r="AA381" s="5"/>
      <c r="AB381" s="5"/>
    </row>
    <row r="382">
      <c r="A382" s="5">
        <f>IFERROR(__xludf.DUMMYFUNCTION("""COMPUTED_VALUE"""),100380.0)</f>
        <v>100380</v>
      </c>
      <c r="B382" s="5" t="str">
        <f>IFERROR(__xludf.DUMMYFUNCTION("""COMPUTED_VALUE"""),"IP-Alm-0")</f>
        <v>IP-Alm-0</v>
      </c>
      <c r="C382" s="5">
        <f>IFERROR(__xludf.DUMMYFUNCTION("""COMPUTED_VALUE"""),9518.0)</f>
        <v>9518</v>
      </c>
      <c r="D382" s="5"/>
      <c r="E382" s="5"/>
      <c r="F382" s="5">
        <f>IFERROR(__xludf.DUMMYFUNCTION("""COMPUTED_VALUE"""),1.0)</f>
        <v>1</v>
      </c>
      <c r="G382" s="5"/>
      <c r="H382" s="5"/>
      <c r="I382" s="5"/>
      <c r="J382" s="5" t="str">
        <f>IFERROR(__xludf.DUMMYFUNCTION("""COMPUTED_VALUE"""),"CS76660")</f>
        <v>CS76660</v>
      </c>
      <c r="K382" s="5" t="str">
        <f>IFERROR(__xludf.DUMMYFUNCTION("""COMPUTED_VALUE"""),"39.88")</f>
        <v>39.88</v>
      </c>
      <c r="L382" s="5" t="str">
        <f>IFERROR(__xludf.DUMMYFUNCTION("""COMPUTED_VALUE"""),"-0.36")</f>
        <v>-0.36</v>
      </c>
      <c r="M382" s="5"/>
      <c r="N382" s="5">
        <f>IFERROR(__xludf.DUMMYFUNCTION("""COMPUTED_VALUE"""),37.0)</f>
        <v>37</v>
      </c>
      <c r="O382" s="5"/>
      <c r="P382" s="5"/>
      <c r="Q382" s="5" t="str">
        <f>IFERROR(__xludf.DUMMYFUNCTION("""COMPUTED_VALUE"""),"no")</f>
        <v>no</v>
      </c>
      <c r="R382" s="5" t="str">
        <f>IFERROR(__xludf.DUMMYFUNCTION("""COMPUTED_VALUE"""),"ONT")</f>
        <v>ONT</v>
      </c>
      <c r="S382" s="5" t="str">
        <f>IFERROR(__xludf.DUMMYFUNCTION("""COMPUTED_VALUE"""),"Flye_v2.9-b1768")</f>
        <v>Flye_v2.9-b1768</v>
      </c>
      <c r="T382" s="6"/>
      <c r="U382" s="6">
        <f>IFERROR(__xludf.DUMMYFUNCTION("""COMPUTED_VALUE"""),2024.0)</f>
        <v>2024</v>
      </c>
      <c r="V382" s="6" t="str">
        <f>IFERROR(__xludf.DUMMYFUNCTION("""COMPUTED_VALUE"""),"no")</f>
        <v>no</v>
      </c>
      <c r="W382" s="6"/>
      <c r="X382" s="5"/>
      <c r="Y382" s="5" t="str">
        <f>IFERROR(__xludf.DUMMYFUNCTION("""COMPUTED_VALUE"""),"unpublished")</f>
        <v>unpublished</v>
      </c>
      <c r="Z382" s="5"/>
      <c r="AA382" s="5"/>
      <c r="AB382" s="5"/>
    </row>
    <row r="383">
      <c r="A383" s="5">
        <f>IFERROR(__xludf.DUMMYFUNCTION("""COMPUTED_VALUE"""),100381.0)</f>
        <v>100381</v>
      </c>
      <c r="B383" s="5" t="str">
        <f>IFERROR(__xludf.DUMMYFUNCTION("""COMPUTED_VALUE"""),"IP-Cat-0")</f>
        <v>IP-Cat-0</v>
      </c>
      <c r="C383" s="5">
        <f>IFERROR(__xludf.DUMMYFUNCTION("""COMPUTED_VALUE"""),9832.0)</f>
        <v>9832</v>
      </c>
      <c r="D383" s="5"/>
      <c r="E383" s="5"/>
      <c r="F383" s="5">
        <f>IFERROR(__xludf.DUMMYFUNCTION("""COMPUTED_VALUE"""),1.0)</f>
        <v>1</v>
      </c>
      <c r="G383" s="5"/>
      <c r="H383" s="5"/>
      <c r="I383" s="5"/>
      <c r="J383" s="5" t="str">
        <f>IFERROR(__xludf.DUMMYFUNCTION("""COMPUTED_VALUE"""),"CS76759")</f>
        <v>CS76759</v>
      </c>
      <c r="K383" s="5" t="str">
        <f>IFERROR(__xludf.DUMMYFUNCTION("""COMPUTED_VALUE"""),"40.54")</f>
        <v>40.54</v>
      </c>
      <c r="L383" s="5" t="str">
        <f>IFERROR(__xludf.DUMMYFUNCTION("""COMPUTED_VALUE"""),"-3.69")</f>
        <v>-3.69</v>
      </c>
      <c r="M383" s="5"/>
      <c r="N383" s="5">
        <f>IFERROR(__xludf.DUMMYFUNCTION("""COMPUTED_VALUE"""),12.0)</f>
        <v>12</v>
      </c>
      <c r="O383" s="5"/>
      <c r="P383" s="5"/>
      <c r="Q383" s="5" t="str">
        <f>IFERROR(__xludf.DUMMYFUNCTION("""COMPUTED_VALUE"""),"no")</f>
        <v>no</v>
      </c>
      <c r="R383" s="5" t="str">
        <f>IFERROR(__xludf.DUMMYFUNCTION("""COMPUTED_VALUE"""),"ONT")</f>
        <v>ONT</v>
      </c>
      <c r="S383" s="5" t="str">
        <f>IFERROR(__xludf.DUMMYFUNCTION("""COMPUTED_VALUE"""),"Flye_v2.9-b1768")</f>
        <v>Flye_v2.9-b1768</v>
      </c>
      <c r="T383" s="6"/>
      <c r="U383" s="6">
        <f>IFERROR(__xludf.DUMMYFUNCTION("""COMPUTED_VALUE"""),2024.0)</f>
        <v>2024</v>
      </c>
      <c r="V383" s="6" t="str">
        <f>IFERROR(__xludf.DUMMYFUNCTION("""COMPUTED_VALUE"""),"no")</f>
        <v>no</v>
      </c>
      <c r="W383" s="6"/>
      <c r="X383" s="5"/>
      <c r="Y383" s="5" t="str">
        <f>IFERROR(__xludf.DUMMYFUNCTION("""COMPUTED_VALUE"""),"unpublished")</f>
        <v>unpublished</v>
      </c>
      <c r="Z383" s="5"/>
      <c r="AA383" s="5"/>
      <c r="AB383" s="5"/>
    </row>
    <row r="384">
      <c r="A384" s="5">
        <f>IFERROR(__xludf.DUMMYFUNCTION("""COMPUTED_VALUE"""),100382.0)</f>
        <v>100382</v>
      </c>
      <c r="B384" s="5" t="str">
        <f>IFERROR(__xludf.DUMMYFUNCTION("""COMPUTED_VALUE"""),"IP-Cem-0")</f>
        <v>IP-Cem-0</v>
      </c>
      <c r="C384" s="5">
        <f>IFERROR(__xludf.DUMMYFUNCTION("""COMPUTED_VALUE"""),9533.0)</f>
        <v>9533</v>
      </c>
      <c r="D384" s="5"/>
      <c r="E384" s="5"/>
      <c r="F384" s="5">
        <f>IFERROR(__xludf.DUMMYFUNCTION("""COMPUTED_VALUE"""),1.0)</f>
        <v>1</v>
      </c>
      <c r="G384" s="5"/>
      <c r="H384" s="5"/>
      <c r="I384" s="5"/>
      <c r="J384" s="5" t="str">
        <f>IFERROR(__xludf.DUMMYFUNCTION("""COMPUTED_VALUE"""),"CS76763")</f>
        <v>CS76763</v>
      </c>
      <c r="K384" s="5" t="str">
        <f>IFERROR(__xludf.DUMMYFUNCTION("""COMPUTED_VALUE"""),"41.15")</f>
        <v>41.15</v>
      </c>
      <c r="L384" s="5" t="str">
        <f>IFERROR(__xludf.DUMMYFUNCTION("""COMPUTED_VALUE"""),"-4.32")</f>
        <v>-4.32</v>
      </c>
      <c r="M384" s="5"/>
      <c r="N384" s="5">
        <f>IFERROR(__xludf.DUMMYFUNCTION("""COMPUTED_VALUE"""),16.0)</f>
        <v>16</v>
      </c>
      <c r="O384" s="5"/>
      <c r="P384" s="5"/>
      <c r="Q384" s="5" t="str">
        <f>IFERROR(__xludf.DUMMYFUNCTION("""COMPUTED_VALUE"""),"no")</f>
        <v>no</v>
      </c>
      <c r="R384" s="5" t="str">
        <f>IFERROR(__xludf.DUMMYFUNCTION("""COMPUTED_VALUE"""),"ONT")</f>
        <v>ONT</v>
      </c>
      <c r="S384" s="5" t="str">
        <f>IFERROR(__xludf.DUMMYFUNCTION("""COMPUTED_VALUE"""),"Flye_v2.9-b1768")</f>
        <v>Flye_v2.9-b1768</v>
      </c>
      <c r="T384" s="6"/>
      <c r="U384" s="6">
        <f>IFERROR(__xludf.DUMMYFUNCTION("""COMPUTED_VALUE"""),2024.0)</f>
        <v>2024</v>
      </c>
      <c r="V384" s="6" t="str">
        <f>IFERROR(__xludf.DUMMYFUNCTION("""COMPUTED_VALUE"""),"no")</f>
        <v>no</v>
      </c>
      <c r="W384" s="6"/>
      <c r="X384" s="5"/>
      <c r="Y384" s="5" t="str">
        <f>IFERROR(__xludf.DUMMYFUNCTION("""COMPUTED_VALUE"""),"unpublished")</f>
        <v>unpublished</v>
      </c>
      <c r="Z384" s="5"/>
      <c r="AA384" s="5"/>
      <c r="AB384" s="5"/>
    </row>
    <row r="385">
      <c r="A385" s="5">
        <f>IFERROR(__xludf.DUMMYFUNCTION("""COMPUTED_VALUE"""),100383.0)</f>
        <v>100383</v>
      </c>
      <c r="B385" s="5" t="str">
        <f>IFERROR(__xludf.DUMMYFUNCTION("""COMPUTED_VALUE"""),"IP-Gra-0")</f>
        <v>IP-Gra-0</v>
      </c>
      <c r="C385" s="5">
        <f>IFERROR(__xludf.DUMMYFUNCTION("""COMPUTED_VALUE"""),9543.0)</f>
        <v>9543</v>
      </c>
      <c r="D385" s="5"/>
      <c r="E385" s="5"/>
      <c r="F385" s="5">
        <f>IFERROR(__xludf.DUMMYFUNCTION("""COMPUTED_VALUE"""),1.0)</f>
        <v>1</v>
      </c>
      <c r="G385" s="5"/>
      <c r="H385" s="5"/>
      <c r="I385" s="5"/>
      <c r="J385" s="5" t="str">
        <f>IFERROR(__xludf.DUMMYFUNCTION("""COMPUTED_VALUE"""),"CS76886")</f>
        <v>CS76886</v>
      </c>
      <c r="K385" s="5" t="str">
        <f>IFERROR(__xludf.DUMMYFUNCTION("""COMPUTED_VALUE"""),"36.77")</f>
        <v>36.77</v>
      </c>
      <c r="L385" s="5" t="str">
        <f>IFERROR(__xludf.DUMMYFUNCTION("""COMPUTED_VALUE"""),"-5.39")</f>
        <v>-5.39</v>
      </c>
      <c r="M385" s="5"/>
      <c r="N385" s="5">
        <f>IFERROR(__xludf.DUMMYFUNCTION("""COMPUTED_VALUE"""),107.0)</f>
        <v>107</v>
      </c>
      <c r="O385" s="5"/>
      <c r="P385" s="5"/>
      <c r="Q385" s="5" t="str">
        <f>IFERROR(__xludf.DUMMYFUNCTION("""COMPUTED_VALUE"""),"no")</f>
        <v>no</v>
      </c>
      <c r="R385" s="5" t="str">
        <f>IFERROR(__xludf.DUMMYFUNCTION("""COMPUTED_VALUE"""),"ONT")</f>
        <v>ONT</v>
      </c>
      <c r="S385" s="5" t="str">
        <f>IFERROR(__xludf.DUMMYFUNCTION("""COMPUTED_VALUE"""),"Flye_v2.9-b1768")</f>
        <v>Flye_v2.9-b1768</v>
      </c>
      <c r="T385" s="6"/>
      <c r="U385" s="6">
        <f>IFERROR(__xludf.DUMMYFUNCTION("""COMPUTED_VALUE"""),2024.0)</f>
        <v>2024</v>
      </c>
      <c r="V385" s="6" t="str">
        <f>IFERROR(__xludf.DUMMYFUNCTION("""COMPUTED_VALUE"""),"no")</f>
        <v>no</v>
      </c>
      <c r="W385" s="6"/>
      <c r="X385" s="5"/>
      <c r="Y385" s="5" t="str">
        <f>IFERROR(__xludf.DUMMYFUNCTION("""COMPUTED_VALUE"""),"unpublished")</f>
        <v>unpublished</v>
      </c>
      <c r="Z385" s="5"/>
      <c r="AA385" s="5"/>
      <c r="AB385" s="5"/>
    </row>
    <row r="386">
      <c r="A386" s="5">
        <f>IFERROR(__xludf.DUMMYFUNCTION("""COMPUTED_VALUE"""),100384.0)</f>
        <v>100384</v>
      </c>
      <c r="B386" s="5" t="str">
        <f>IFERROR(__xludf.DUMMYFUNCTION("""COMPUTED_VALUE"""),"IP-Moa-0")</f>
        <v>IP-Moa-0</v>
      </c>
      <c r="C386" s="5">
        <f>IFERROR(__xludf.DUMMYFUNCTION("""COMPUTED_VALUE"""),9557.0)</f>
        <v>9557</v>
      </c>
      <c r="D386" s="5"/>
      <c r="E386" s="5"/>
      <c r="F386" s="5">
        <f>IFERROR(__xludf.DUMMYFUNCTION("""COMPUTED_VALUE"""),1.0)</f>
        <v>1</v>
      </c>
      <c r="G386" s="5"/>
      <c r="H386" s="5"/>
      <c r="I386" s="5"/>
      <c r="J386" s="5" t="str">
        <f>IFERROR(__xludf.DUMMYFUNCTION("""COMPUTED_VALUE"""),"CS77102")</f>
        <v>CS77102</v>
      </c>
      <c r="K386" s="5" t="str">
        <f>IFERROR(__xludf.DUMMYFUNCTION("""COMPUTED_VALUE"""),"42.46")</f>
        <v>42.46</v>
      </c>
      <c r="L386" s="5" t="str">
        <f>IFERROR(__xludf.DUMMYFUNCTION("""COMPUTED_VALUE"""),"0.7")</f>
        <v>0.7</v>
      </c>
      <c r="M386" s="5"/>
      <c r="N386" s="5">
        <f>IFERROR(__xludf.DUMMYFUNCTION("""COMPUTED_VALUE"""),10.0)</f>
        <v>10</v>
      </c>
      <c r="O386" s="5"/>
      <c r="P386" s="5"/>
      <c r="Q386" s="5" t="str">
        <f>IFERROR(__xludf.DUMMYFUNCTION("""COMPUTED_VALUE"""),"no")</f>
        <v>no</v>
      </c>
      <c r="R386" s="5" t="str">
        <f>IFERROR(__xludf.DUMMYFUNCTION("""COMPUTED_VALUE"""),"ONT")</f>
        <v>ONT</v>
      </c>
      <c r="S386" s="5" t="str">
        <f>IFERROR(__xludf.DUMMYFUNCTION("""COMPUTED_VALUE"""),"Flye_v2.9-b1768")</f>
        <v>Flye_v2.9-b1768</v>
      </c>
      <c r="T386" s="6"/>
      <c r="U386" s="6">
        <f>IFERROR(__xludf.DUMMYFUNCTION("""COMPUTED_VALUE"""),2024.0)</f>
        <v>2024</v>
      </c>
      <c r="V386" s="6" t="str">
        <f>IFERROR(__xludf.DUMMYFUNCTION("""COMPUTED_VALUE"""),"no")</f>
        <v>no</v>
      </c>
      <c r="W386" s="6"/>
      <c r="X386" s="5"/>
      <c r="Y386" s="5" t="str">
        <f>IFERROR(__xludf.DUMMYFUNCTION("""COMPUTED_VALUE"""),"unpublished")</f>
        <v>unpublished</v>
      </c>
      <c r="Z386" s="5"/>
      <c r="AA386" s="5"/>
      <c r="AB386" s="5"/>
    </row>
    <row r="387">
      <c r="A387" s="5">
        <f>IFERROR(__xludf.DUMMYFUNCTION("""COMPUTED_VALUE"""),100385.0)</f>
        <v>100385</v>
      </c>
      <c r="B387" s="5" t="str">
        <f>IFERROR(__xludf.DUMMYFUNCTION("""COMPUTED_VALUE"""),"IP-Pan-0")</f>
        <v>IP-Pan-0</v>
      </c>
      <c r="C387" s="5">
        <f>IFERROR(__xludf.DUMMYFUNCTION("""COMPUTED_VALUE"""),9568.0)</f>
        <v>9568</v>
      </c>
      <c r="D387" s="5"/>
      <c r="E387" s="5"/>
      <c r="F387" s="5">
        <f>IFERROR(__xludf.DUMMYFUNCTION("""COMPUTED_VALUE"""),1.0)</f>
        <v>1</v>
      </c>
      <c r="G387" s="5"/>
      <c r="H387" s="5"/>
      <c r="I387" s="5"/>
      <c r="J387" s="5" t="str">
        <f>IFERROR(__xludf.DUMMYFUNCTION("""COMPUTED_VALUE"""),"CS77160")</f>
        <v>CS77160</v>
      </c>
      <c r="K387" s="5" t="str">
        <f>IFERROR(__xludf.DUMMYFUNCTION("""COMPUTED_VALUE"""),"42.76")</f>
        <v>42.76</v>
      </c>
      <c r="L387" s="5" t="str">
        <f>IFERROR(__xludf.DUMMYFUNCTION("""COMPUTED_VALUE"""),"-0.23")</f>
        <v>-0.23</v>
      </c>
      <c r="M387" s="5"/>
      <c r="N387" s="5">
        <f>IFERROR(__xludf.DUMMYFUNCTION("""COMPUTED_VALUE"""),17.0)</f>
        <v>17</v>
      </c>
      <c r="O387" s="5"/>
      <c r="P387" s="5"/>
      <c r="Q387" s="5" t="str">
        <f>IFERROR(__xludf.DUMMYFUNCTION("""COMPUTED_VALUE"""),"no")</f>
        <v>no</v>
      </c>
      <c r="R387" s="5" t="str">
        <f>IFERROR(__xludf.DUMMYFUNCTION("""COMPUTED_VALUE"""),"ONT")</f>
        <v>ONT</v>
      </c>
      <c r="S387" s="5" t="str">
        <f>IFERROR(__xludf.DUMMYFUNCTION("""COMPUTED_VALUE"""),"Flye_v2.9-b1768")</f>
        <v>Flye_v2.9-b1768</v>
      </c>
      <c r="T387" s="6"/>
      <c r="U387" s="6">
        <f>IFERROR(__xludf.DUMMYFUNCTION("""COMPUTED_VALUE"""),2024.0)</f>
        <v>2024</v>
      </c>
      <c r="V387" s="6" t="str">
        <f>IFERROR(__xludf.DUMMYFUNCTION("""COMPUTED_VALUE"""),"no")</f>
        <v>no</v>
      </c>
      <c r="W387" s="6"/>
      <c r="X387" s="5"/>
      <c r="Y387" s="5" t="str">
        <f>IFERROR(__xludf.DUMMYFUNCTION("""COMPUTED_VALUE"""),"unpublished")</f>
        <v>unpublished</v>
      </c>
      <c r="Z387" s="5"/>
      <c r="AA387" s="5"/>
      <c r="AB387" s="5"/>
    </row>
    <row r="388">
      <c r="A388" s="5">
        <f>IFERROR(__xludf.DUMMYFUNCTION("""COMPUTED_VALUE"""),100386.0)</f>
        <v>100386</v>
      </c>
      <c r="B388" s="5" t="str">
        <f>IFERROR(__xludf.DUMMYFUNCTION("""COMPUTED_VALUE"""),"IP-Per-0")</f>
        <v>IP-Per-0</v>
      </c>
      <c r="C388" s="5">
        <f>IFERROR(__xludf.DUMMYFUNCTION("""COMPUTED_VALUE"""),9879.0)</f>
        <v>9879</v>
      </c>
      <c r="D388" s="5"/>
      <c r="E388" s="5"/>
      <c r="F388" s="5">
        <f>IFERROR(__xludf.DUMMYFUNCTION("""COMPUTED_VALUE"""),1.0)</f>
        <v>1</v>
      </c>
      <c r="G388" s="5"/>
      <c r="H388" s="5" t="str">
        <f>IFERROR(__xludf.DUMMYFUNCTION("""COMPUTED_VALUE"""),"There is an ONT that looks better")</f>
        <v>There is an ONT that looks better</v>
      </c>
      <c r="I388" s="5"/>
      <c r="J388" s="5" t="str">
        <f>IFERROR(__xludf.DUMMYFUNCTION("""COMPUTED_VALUE"""),"CS77169")</f>
        <v>CS77169</v>
      </c>
      <c r="K388" s="5" t="str">
        <f>IFERROR(__xludf.DUMMYFUNCTION("""COMPUTED_VALUE"""),"37.6")</f>
        <v>37.6</v>
      </c>
      <c r="L388" s="5" t="str">
        <f>IFERROR(__xludf.DUMMYFUNCTION("""COMPUTED_VALUE"""),"-1.12")</f>
        <v>-1.12</v>
      </c>
      <c r="M388" s="5"/>
      <c r="N388" s="5">
        <f>IFERROR(__xludf.DUMMYFUNCTION("""COMPUTED_VALUE"""),13.0)</f>
        <v>13</v>
      </c>
      <c r="O388" s="5"/>
      <c r="P388" s="5"/>
      <c r="Q388" s="5" t="str">
        <f>IFERROR(__xludf.DUMMYFUNCTION("""COMPUTED_VALUE"""),"no")</f>
        <v>no</v>
      </c>
      <c r="R388" s="5" t="str">
        <f>IFERROR(__xludf.DUMMYFUNCTION("""COMPUTED_VALUE"""),"ONT")</f>
        <v>ONT</v>
      </c>
      <c r="S388" s="5" t="str">
        <f>IFERROR(__xludf.DUMMYFUNCTION("""COMPUTED_VALUE"""),"Flye_v2.9-b1768")</f>
        <v>Flye_v2.9-b1768</v>
      </c>
      <c r="T388" s="6"/>
      <c r="U388" s="6">
        <f>IFERROR(__xludf.DUMMYFUNCTION("""COMPUTED_VALUE"""),2024.0)</f>
        <v>2024</v>
      </c>
      <c r="V388" s="6" t="str">
        <f>IFERROR(__xludf.DUMMYFUNCTION("""COMPUTED_VALUE"""),"no")</f>
        <v>no</v>
      </c>
      <c r="W388" s="6"/>
      <c r="X388" s="5"/>
      <c r="Y388" s="5" t="str">
        <f>IFERROR(__xludf.DUMMYFUNCTION("""COMPUTED_VALUE"""),"unpublished")</f>
        <v>unpublished</v>
      </c>
      <c r="Z388" s="5"/>
      <c r="AA388" s="5"/>
      <c r="AB388" s="5"/>
    </row>
    <row r="389">
      <c r="A389" s="5">
        <f>IFERROR(__xludf.DUMMYFUNCTION("""COMPUTED_VALUE"""),100387.0)</f>
        <v>100387</v>
      </c>
      <c r="B389" s="5" t="str">
        <f>IFERROR(__xludf.DUMMYFUNCTION("""COMPUTED_VALUE"""),"IP-Pun-0")</f>
        <v>IP-Pun-0</v>
      </c>
      <c r="C389" s="5">
        <f>IFERROR(__xludf.DUMMYFUNCTION("""COMPUTED_VALUE"""),9887.0)</f>
        <v>9887</v>
      </c>
      <c r="D389" s="5"/>
      <c r="E389" s="5"/>
      <c r="F389" s="5">
        <f>IFERROR(__xludf.DUMMYFUNCTION("""COMPUTED_VALUE"""),1.0)</f>
        <v>1</v>
      </c>
      <c r="G389" s="5"/>
      <c r="H389" s="5"/>
      <c r="I389" s="5"/>
      <c r="J389" s="5" t="str">
        <f>IFERROR(__xludf.DUMMYFUNCTION("""COMPUTED_VALUE"""),"CS77196")</f>
        <v>CS77196</v>
      </c>
      <c r="K389" s="5" t="str">
        <f>IFERROR(__xludf.DUMMYFUNCTION("""COMPUTED_VALUE"""),"40.4")</f>
        <v>40.4</v>
      </c>
      <c r="L389" s="5" t="str">
        <f>IFERROR(__xludf.DUMMYFUNCTION("""COMPUTED_VALUE"""),"-4.77")</f>
        <v>-4.77</v>
      </c>
      <c r="M389" s="5"/>
      <c r="N389" s="5">
        <f>IFERROR(__xludf.DUMMYFUNCTION("""COMPUTED_VALUE"""),21.0)</f>
        <v>21</v>
      </c>
      <c r="O389" s="5"/>
      <c r="P389" s="5"/>
      <c r="Q389" s="5" t="str">
        <f>IFERROR(__xludf.DUMMYFUNCTION("""COMPUTED_VALUE"""),"no")</f>
        <v>no</v>
      </c>
      <c r="R389" s="5" t="str">
        <f>IFERROR(__xludf.DUMMYFUNCTION("""COMPUTED_VALUE"""),"ONT")</f>
        <v>ONT</v>
      </c>
      <c r="S389" s="5" t="str">
        <f>IFERROR(__xludf.DUMMYFUNCTION("""COMPUTED_VALUE"""),"Flye_v2.9-b1768")</f>
        <v>Flye_v2.9-b1768</v>
      </c>
      <c r="T389" s="6"/>
      <c r="U389" s="6">
        <f>IFERROR(__xludf.DUMMYFUNCTION("""COMPUTED_VALUE"""),2024.0)</f>
        <v>2024</v>
      </c>
      <c r="V389" s="6" t="str">
        <f>IFERROR(__xludf.DUMMYFUNCTION("""COMPUTED_VALUE"""),"no")</f>
        <v>no</v>
      </c>
      <c r="W389" s="6"/>
      <c r="X389" s="5"/>
      <c r="Y389" s="5" t="str">
        <f>IFERROR(__xludf.DUMMYFUNCTION("""COMPUTED_VALUE"""),"unpublished")</f>
        <v>unpublished</v>
      </c>
      <c r="Z389" s="5"/>
      <c r="AA389" s="5"/>
      <c r="AB389" s="5"/>
    </row>
    <row r="390">
      <c r="A390" s="5">
        <f>IFERROR(__xludf.DUMMYFUNCTION("""COMPUTED_VALUE"""),100388.0)</f>
        <v>100388</v>
      </c>
      <c r="B390" s="5" t="str">
        <f>IFERROR(__xludf.DUMMYFUNCTION("""COMPUTED_VALUE"""),"IP-Tol-7")</f>
        <v>IP-Tol-7</v>
      </c>
      <c r="C390" s="5">
        <f>IFERROR(__xludf.DUMMYFUNCTION("""COMPUTED_VALUE"""),9588.0)</f>
        <v>9588</v>
      </c>
      <c r="D390" s="5"/>
      <c r="E390" s="5"/>
      <c r="F390" s="5">
        <f>IFERROR(__xludf.DUMMYFUNCTION("""COMPUTED_VALUE"""),1.0)</f>
        <v>1</v>
      </c>
      <c r="G390" s="5"/>
      <c r="H390" s="5"/>
      <c r="I390" s="5"/>
      <c r="J390" s="5" t="str">
        <f>IFERROR(__xludf.DUMMYFUNCTION("""COMPUTED_VALUE"""),"CS77371")</f>
        <v>CS77371</v>
      </c>
      <c r="K390" s="5" t="str">
        <f>IFERROR(__xludf.DUMMYFUNCTION("""COMPUTED_VALUE"""),"42.11")</f>
        <v>42.11</v>
      </c>
      <c r="L390" s="5" t="str">
        <f>IFERROR(__xludf.DUMMYFUNCTION("""COMPUTED_VALUE"""),"0.6")</f>
        <v>0.6</v>
      </c>
      <c r="M390" s="5"/>
      <c r="N390" s="5">
        <f>IFERROR(__xludf.DUMMYFUNCTION("""COMPUTED_VALUE"""),20.0)</f>
        <v>20</v>
      </c>
      <c r="O390" s="5"/>
      <c r="P390" s="5"/>
      <c r="Q390" s="5" t="str">
        <f>IFERROR(__xludf.DUMMYFUNCTION("""COMPUTED_VALUE"""),"no")</f>
        <v>no</v>
      </c>
      <c r="R390" s="5" t="str">
        <f>IFERROR(__xludf.DUMMYFUNCTION("""COMPUTED_VALUE"""),"ONT")</f>
        <v>ONT</v>
      </c>
      <c r="S390" s="5" t="str">
        <f>IFERROR(__xludf.DUMMYFUNCTION("""COMPUTED_VALUE"""),"Flye_v2.9-b1768")</f>
        <v>Flye_v2.9-b1768</v>
      </c>
      <c r="T390" s="6"/>
      <c r="U390" s="6">
        <f>IFERROR(__xludf.DUMMYFUNCTION("""COMPUTED_VALUE"""),2024.0)</f>
        <v>2024</v>
      </c>
      <c r="V390" s="6" t="str">
        <f>IFERROR(__xludf.DUMMYFUNCTION("""COMPUTED_VALUE"""),"no")</f>
        <v>no</v>
      </c>
      <c r="W390" s="6"/>
      <c r="X390" s="5"/>
      <c r="Y390" s="5" t="str">
        <f>IFERROR(__xludf.DUMMYFUNCTION("""COMPUTED_VALUE"""),"unpublished")</f>
        <v>unpublished</v>
      </c>
      <c r="Z390" s="5"/>
      <c r="AA390" s="5"/>
      <c r="AB390" s="5"/>
    </row>
    <row r="391">
      <c r="A391" s="5">
        <f>IFERROR(__xludf.DUMMYFUNCTION("""COMPUTED_VALUE"""),100389.0)</f>
        <v>100389</v>
      </c>
      <c r="B391" s="5" t="str">
        <f>IFERROR(__xludf.DUMMYFUNCTION("""COMPUTED_VALUE"""),"IP-Vaz-0")</f>
        <v>IP-Vaz-0</v>
      </c>
      <c r="C391" s="5">
        <f>IFERROR(__xludf.DUMMYFUNCTION("""COMPUTED_VALUE"""),9593.0)</f>
        <v>9593</v>
      </c>
      <c r="D391" s="5"/>
      <c r="E391" s="5"/>
      <c r="F391" s="5">
        <f>IFERROR(__xludf.DUMMYFUNCTION("""COMPUTED_VALUE"""),1.0)</f>
        <v>1</v>
      </c>
      <c r="G391" s="5"/>
      <c r="H391" s="5"/>
      <c r="I391" s="5"/>
      <c r="J391" s="5" t="str">
        <f>IFERROR(__xludf.DUMMYFUNCTION("""COMPUTED_VALUE"""),"CS78836")</f>
        <v>CS78836</v>
      </c>
      <c r="K391" s="5" t="str">
        <f>IFERROR(__xludf.DUMMYFUNCTION("""COMPUTED_VALUE"""),"42.26")</f>
        <v>42.26</v>
      </c>
      <c r="L391" s="5" t="str">
        <f>IFERROR(__xludf.DUMMYFUNCTION("""COMPUTED_VALUE"""),"-2.99")</f>
        <v>-2.99</v>
      </c>
      <c r="M391" s="5"/>
      <c r="N391" s="5">
        <f>IFERROR(__xludf.DUMMYFUNCTION("""COMPUTED_VALUE"""),57.0)</f>
        <v>57</v>
      </c>
      <c r="O391" s="5"/>
      <c r="P391" s="5"/>
      <c r="Q391" s="5" t="str">
        <f>IFERROR(__xludf.DUMMYFUNCTION("""COMPUTED_VALUE"""),"no")</f>
        <v>no</v>
      </c>
      <c r="R391" s="5" t="str">
        <f>IFERROR(__xludf.DUMMYFUNCTION("""COMPUTED_VALUE"""),"ONT")</f>
        <v>ONT</v>
      </c>
      <c r="S391" s="5" t="str">
        <f>IFERROR(__xludf.DUMMYFUNCTION("""COMPUTED_VALUE"""),"Flye_v2.9-b1768")</f>
        <v>Flye_v2.9-b1768</v>
      </c>
      <c r="T391" s="6"/>
      <c r="U391" s="6">
        <f>IFERROR(__xludf.DUMMYFUNCTION("""COMPUTED_VALUE"""),2024.0)</f>
        <v>2024</v>
      </c>
      <c r="V391" s="6" t="str">
        <f>IFERROR(__xludf.DUMMYFUNCTION("""COMPUTED_VALUE"""),"no")</f>
        <v>no</v>
      </c>
      <c r="W391" s="6"/>
      <c r="X391" s="5"/>
      <c r="Y391" s="5" t="str">
        <f>IFERROR(__xludf.DUMMYFUNCTION("""COMPUTED_VALUE"""),"unpublished")</f>
        <v>unpublished</v>
      </c>
      <c r="Z391" s="5"/>
      <c r="AA391" s="5"/>
      <c r="AB391" s="5"/>
    </row>
    <row r="392">
      <c r="A392" s="5">
        <f>IFERROR(__xludf.DUMMYFUNCTION("""COMPUTED_VALUE"""),100390.0)</f>
        <v>100390</v>
      </c>
      <c r="B392" s="5" t="str">
        <f>IFERROR(__xludf.DUMMYFUNCTION("""COMPUTED_VALUE"""),"IP-Vis-0")</f>
        <v>IP-Vis-0</v>
      </c>
      <c r="C392" s="5">
        <f>IFERROR(__xludf.DUMMYFUNCTION("""COMPUTED_VALUE"""),9600.0)</f>
        <v>9600</v>
      </c>
      <c r="D392" s="5"/>
      <c r="E392" s="5"/>
      <c r="F392" s="5">
        <f>IFERROR(__xludf.DUMMYFUNCTION("""COMPUTED_VALUE"""),1.0)</f>
        <v>1</v>
      </c>
      <c r="G392" s="5"/>
      <c r="H392" s="5"/>
      <c r="I392" s="5"/>
      <c r="J392" s="5" t="str">
        <f>IFERROR(__xludf.DUMMYFUNCTION("""COMPUTED_VALUE"""),"CS78848")</f>
        <v>CS78848</v>
      </c>
      <c r="K392" s="5" t="str">
        <f>IFERROR(__xludf.DUMMYFUNCTION("""COMPUTED_VALUE"""),"39.85")</f>
        <v>39.85</v>
      </c>
      <c r="L392" s="5" t="str">
        <f>IFERROR(__xludf.DUMMYFUNCTION("""COMPUTED_VALUE"""),"-6.04")</f>
        <v>-6.04</v>
      </c>
      <c r="M392" s="5"/>
      <c r="N392" s="5">
        <f>IFERROR(__xludf.DUMMYFUNCTION("""COMPUTED_VALUE"""),16.0)</f>
        <v>16</v>
      </c>
      <c r="O392" s="5"/>
      <c r="P392" s="5"/>
      <c r="Q392" s="5" t="str">
        <f>IFERROR(__xludf.DUMMYFUNCTION("""COMPUTED_VALUE"""),"no")</f>
        <v>no</v>
      </c>
      <c r="R392" s="5" t="str">
        <f>IFERROR(__xludf.DUMMYFUNCTION("""COMPUTED_VALUE"""),"ONT")</f>
        <v>ONT</v>
      </c>
      <c r="S392" s="5" t="str">
        <f>IFERROR(__xludf.DUMMYFUNCTION("""COMPUTED_VALUE"""),"nextDenovo_v2.5.0")</f>
        <v>nextDenovo_v2.5.0</v>
      </c>
      <c r="T392" s="6"/>
      <c r="U392" s="6">
        <f>IFERROR(__xludf.DUMMYFUNCTION("""COMPUTED_VALUE"""),2024.0)</f>
        <v>2024</v>
      </c>
      <c r="V392" s="6" t="str">
        <f>IFERROR(__xludf.DUMMYFUNCTION("""COMPUTED_VALUE"""),"no")</f>
        <v>no</v>
      </c>
      <c r="W392" s="6"/>
      <c r="X392" s="5"/>
      <c r="Y392" s="5" t="str">
        <f>IFERROR(__xludf.DUMMYFUNCTION("""COMPUTED_VALUE"""),"unpublished")</f>
        <v>unpublished</v>
      </c>
      <c r="Z392" s="5"/>
      <c r="AA392" s="5"/>
      <c r="AB392" s="5"/>
    </row>
    <row r="393">
      <c r="A393" s="5">
        <f>IFERROR(__xludf.DUMMYFUNCTION("""COMPUTED_VALUE"""),100391.0)</f>
        <v>100391</v>
      </c>
      <c r="B393" s="5" t="str">
        <f>IFERROR(__xludf.DUMMYFUNCTION("""COMPUTED_VALUE"""),"Kas-2")</f>
        <v>Kas-2</v>
      </c>
      <c r="C393" s="5">
        <f>IFERROR(__xludf.DUMMYFUNCTION("""COMPUTED_VALUE"""),8424.0)</f>
        <v>8424</v>
      </c>
      <c r="D393" s="5"/>
      <c r="E393" s="5"/>
      <c r="F393" s="5">
        <f>IFERROR(__xludf.DUMMYFUNCTION("""COMPUTED_VALUE"""),1.0)</f>
        <v>1</v>
      </c>
      <c r="G393" s="5"/>
      <c r="H393" s="5"/>
      <c r="I393" s="5"/>
      <c r="J393" s="5" t="str">
        <f>IFERROR(__xludf.DUMMYFUNCTION("""COMPUTED_VALUE"""),"CS78905")</f>
        <v>CS78905</v>
      </c>
      <c r="K393" s="5">
        <f>IFERROR(__xludf.DUMMYFUNCTION("""COMPUTED_VALUE"""),35.0)</f>
        <v>35</v>
      </c>
      <c r="L393" s="5">
        <f>IFERROR(__xludf.DUMMYFUNCTION("""COMPUTED_VALUE"""),77.0)</f>
        <v>77</v>
      </c>
      <c r="M393" s="5"/>
      <c r="N393" s="5">
        <f>IFERROR(__xludf.DUMMYFUNCTION("""COMPUTED_VALUE"""),9.0)</f>
        <v>9</v>
      </c>
      <c r="O393" s="5"/>
      <c r="P393" s="5"/>
      <c r="Q393" s="5" t="str">
        <f>IFERROR(__xludf.DUMMYFUNCTION("""COMPUTED_VALUE"""),"no")</f>
        <v>no</v>
      </c>
      <c r="R393" s="5" t="str">
        <f>IFERROR(__xludf.DUMMYFUNCTION("""COMPUTED_VALUE"""),"ONT")</f>
        <v>ONT</v>
      </c>
      <c r="S393" s="5" t="str">
        <f>IFERROR(__xludf.DUMMYFUNCTION("""COMPUTED_VALUE"""),"nextDenovo_v2.5.0")</f>
        <v>nextDenovo_v2.5.0</v>
      </c>
      <c r="T393" s="6"/>
      <c r="U393" s="6">
        <f>IFERROR(__xludf.DUMMYFUNCTION("""COMPUTED_VALUE"""),2024.0)</f>
        <v>2024</v>
      </c>
      <c r="V393" s="6" t="str">
        <f>IFERROR(__xludf.DUMMYFUNCTION("""COMPUTED_VALUE"""),"no")</f>
        <v>no</v>
      </c>
      <c r="W393" s="6"/>
      <c r="X393" s="5"/>
      <c r="Y393" s="5" t="str">
        <f>IFERROR(__xludf.DUMMYFUNCTION("""COMPUTED_VALUE"""),"unpublished")</f>
        <v>unpublished</v>
      </c>
      <c r="Z393" s="5"/>
      <c r="AA393" s="5"/>
      <c r="AB393" s="5"/>
    </row>
    <row r="394">
      <c r="A394" s="5">
        <f>IFERROR(__xludf.DUMMYFUNCTION("""COMPUTED_VALUE"""),100392.0)</f>
        <v>100392</v>
      </c>
      <c r="B394" s="5" t="str">
        <f>IFERROR(__xludf.DUMMYFUNCTION("""COMPUTED_VALUE"""),"Ker-5")</f>
        <v>Ker-5</v>
      </c>
      <c r="C394" s="5">
        <f>IFERROR(__xludf.DUMMYFUNCTION("""COMPUTED_VALUE"""),1757.0)</f>
        <v>1757</v>
      </c>
      <c r="D394" s="5"/>
      <c r="E394" s="5"/>
      <c r="F394" s="5">
        <f>IFERROR(__xludf.DUMMYFUNCTION("""COMPUTED_VALUE"""),1.0)</f>
        <v>1</v>
      </c>
      <c r="G394" s="5"/>
      <c r="H394" s="5"/>
      <c r="I394" s="5"/>
      <c r="J394" s="5" t="str">
        <f>IFERROR(__xludf.DUMMYFUNCTION("""COMPUTED_VALUE"""),"CS78971")</f>
        <v>CS78971</v>
      </c>
      <c r="K394" s="5" t="str">
        <f>IFERROR(__xludf.DUMMYFUNCTION("""COMPUTED_VALUE"""),"42.184")</f>
        <v>42.184</v>
      </c>
      <c r="L394" s="5" t="str">
        <f>IFERROR(__xludf.DUMMYFUNCTION("""COMPUTED_VALUE"""),"-86.358")</f>
        <v>-86.358</v>
      </c>
      <c r="M394" s="5"/>
      <c r="N394" s="5">
        <f>IFERROR(__xludf.DUMMYFUNCTION("""COMPUTED_VALUE"""),17.0)</f>
        <v>17</v>
      </c>
      <c r="O394" s="5"/>
      <c r="P394" s="5"/>
      <c r="Q394" s="5" t="str">
        <f>IFERROR(__xludf.DUMMYFUNCTION("""COMPUTED_VALUE"""),"no")</f>
        <v>no</v>
      </c>
      <c r="R394" s="5" t="str">
        <f>IFERROR(__xludf.DUMMYFUNCTION("""COMPUTED_VALUE"""),"ONT")</f>
        <v>ONT</v>
      </c>
      <c r="S394" s="5" t="str">
        <f>IFERROR(__xludf.DUMMYFUNCTION("""COMPUTED_VALUE"""),"Flye_v2.9-b1768")</f>
        <v>Flye_v2.9-b1768</v>
      </c>
      <c r="T394" s="6"/>
      <c r="U394" s="6">
        <f>IFERROR(__xludf.DUMMYFUNCTION("""COMPUTED_VALUE"""),2024.0)</f>
        <v>2024</v>
      </c>
      <c r="V394" s="6" t="str">
        <f>IFERROR(__xludf.DUMMYFUNCTION("""COMPUTED_VALUE"""),"no")</f>
        <v>no</v>
      </c>
      <c r="W394" s="6"/>
      <c r="X394" s="5"/>
      <c r="Y394" s="5" t="str">
        <f>IFERROR(__xludf.DUMMYFUNCTION("""COMPUTED_VALUE"""),"unpublished")</f>
        <v>unpublished</v>
      </c>
      <c r="Z394" s="5"/>
      <c r="AA394" s="5"/>
      <c r="AB394" s="5"/>
    </row>
    <row r="395">
      <c r="A395" s="5">
        <f>IFERROR(__xludf.DUMMYFUNCTION("""COMPUTED_VALUE"""),100393.0)</f>
        <v>100393</v>
      </c>
      <c r="B395" s="5" t="str">
        <f>IFERROR(__xludf.DUMMYFUNCTION("""COMPUTED_VALUE"""),"KNO2-54")</f>
        <v>KNO2-54</v>
      </c>
      <c r="C395" s="5">
        <f>IFERROR(__xludf.DUMMYFUNCTION("""COMPUTED_VALUE"""),7767.0)</f>
        <v>7767</v>
      </c>
      <c r="D395" s="5"/>
      <c r="E395" s="5"/>
      <c r="F395" s="5">
        <f>IFERROR(__xludf.DUMMYFUNCTION("""COMPUTED_VALUE"""),1.0)</f>
        <v>1</v>
      </c>
      <c r="G395" s="5"/>
      <c r="H395" s="5"/>
      <c r="I395" s="5"/>
      <c r="J395" s="5" t="str">
        <f>IFERROR(__xludf.DUMMYFUNCTION("""COMPUTED_VALUE"""),"CS79026")</f>
        <v>CS79026</v>
      </c>
      <c r="K395" s="5" t="str">
        <f>IFERROR(__xludf.DUMMYFUNCTION("""COMPUTED_VALUE"""),"41.273")</f>
        <v>41.273</v>
      </c>
      <c r="L395" s="5" t="str">
        <f>IFERROR(__xludf.DUMMYFUNCTION("""COMPUTED_VALUE"""),"-86.625")</f>
        <v>-86.625</v>
      </c>
      <c r="M395" s="5"/>
      <c r="N395" s="5">
        <f>IFERROR(__xludf.DUMMYFUNCTION("""COMPUTED_VALUE"""),18.0)</f>
        <v>18</v>
      </c>
      <c r="O395" s="5"/>
      <c r="P395" s="5"/>
      <c r="Q395" s="5" t="str">
        <f>IFERROR(__xludf.DUMMYFUNCTION("""COMPUTED_VALUE"""),"no")</f>
        <v>no</v>
      </c>
      <c r="R395" s="5" t="str">
        <f>IFERROR(__xludf.DUMMYFUNCTION("""COMPUTED_VALUE"""),"ONT")</f>
        <v>ONT</v>
      </c>
      <c r="S395" s="5" t="str">
        <f>IFERROR(__xludf.DUMMYFUNCTION("""COMPUTED_VALUE"""),"Flye_v2.9-b1768")</f>
        <v>Flye_v2.9-b1768</v>
      </c>
      <c r="T395" s="6"/>
      <c r="U395" s="6">
        <f>IFERROR(__xludf.DUMMYFUNCTION("""COMPUTED_VALUE"""),2024.0)</f>
        <v>2024</v>
      </c>
      <c r="V395" s="6" t="str">
        <f>IFERROR(__xludf.DUMMYFUNCTION("""COMPUTED_VALUE"""),"no")</f>
        <v>no</v>
      </c>
      <c r="W395" s="6"/>
      <c r="X395" s="5"/>
      <c r="Y395" s="5" t="str">
        <f>IFERROR(__xludf.DUMMYFUNCTION("""COMPUTED_VALUE"""),"unpublished")</f>
        <v>unpublished</v>
      </c>
      <c r="Z395" s="5"/>
      <c r="AA395" s="5"/>
      <c r="AB395" s="5"/>
    </row>
    <row r="396">
      <c r="A396" s="5">
        <f>IFERROR(__xludf.DUMMYFUNCTION("""COMPUTED_VALUE"""),100394.0)</f>
        <v>100394</v>
      </c>
      <c r="B396" s="5" t="str">
        <f>IFERROR(__xludf.DUMMYFUNCTION("""COMPUTED_VALUE"""),"Krazo-1")</f>
        <v>Krazo-1</v>
      </c>
      <c r="C396" s="5">
        <f>IFERROR(__xludf.DUMMYFUNCTION("""COMPUTED_VALUE"""),9616.0)</f>
        <v>9616</v>
      </c>
      <c r="D396" s="5"/>
      <c r="E396" s="5"/>
      <c r="F396" s="5">
        <f>IFERROR(__xludf.DUMMYFUNCTION("""COMPUTED_VALUE"""),1.0)</f>
        <v>1</v>
      </c>
      <c r="G396" s="5"/>
      <c r="H396" s="5"/>
      <c r="I396" s="5"/>
      <c r="J396" s="5" t="str">
        <f>IFERROR(__xludf.DUMMYFUNCTION("""COMPUTED_VALUE"""),"CS76984")</f>
        <v>CS76984</v>
      </c>
      <c r="K396" s="5" t="str">
        <f>IFERROR(__xludf.DUMMYFUNCTION("""COMPUTED_VALUE"""),"53.06")</f>
        <v>53.06</v>
      </c>
      <c r="L396" s="5" t="str">
        <f>IFERROR(__xludf.DUMMYFUNCTION("""COMPUTED_VALUE"""),"51.96")</f>
        <v>51.96</v>
      </c>
      <c r="M396" s="5"/>
      <c r="N396" s="5">
        <f>IFERROR(__xludf.DUMMYFUNCTION("""COMPUTED_VALUE"""),14.0)</f>
        <v>14</v>
      </c>
      <c r="O396" s="5"/>
      <c r="P396" s="5"/>
      <c r="Q396" s="5" t="str">
        <f>IFERROR(__xludf.DUMMYFUNCTION("""COMPUTED_VALUE"""),"no")</f>
        <v>no</v>
      </c>
      <c r="R396" s="5" t="str">
        <f>IFERROR(__xludf.DUMMYFUNCTION("""COMPUTED_VALUE"""),"ONT")</f>
        <v>ONT</v>
      </c>
      <c r="S396" s="5" t="str">
        <f>IFERROR(__xludf.DUMMYFUNCTION("""COMPUTED_VALUE"""),"Flye_v2.9-b1768")</f>
        <v>Flye_v2.9-b1768</v>
      </c>
      <c r="T396" s="6"/>
      <c r="U396" s="6">
        <f>IFERROR(__xludf.DUMMYFUNCTION("""COMPUTED_VALUE"""),2024.0)</f>
        <v>2024</v>
      </c>
      <c r="V396" s="6" t="str">
        <f>IFERROR(__xludf.DUMMYFUNCTION("""COMPUTED_VALUE"""),"no")</f>
        <v>no</v>
      </c>
      <c r="W396" s="6"/>
      <c r="X396" s="5"/>
      <c r="Y396" s="5" t="str">
        <f>IFERROR(__xludf.DUMMYFUNCTION("""COMPUTED_VALUE"""),"unpublished")</f>
        <v>unpublished</v>
      </c>
      <c r="Z396" s="5"/>
      <c r="AA396" s="5"/>
      <c r="AB396" s="5"/>
    </row>
    <row r="397">
      <c r="A397" s="5">
        <f>IFERROR(__xludf.DUMMYFUNCTION("""COMPUTED_VALUE"""),100395.0)</f>
        <v>100395</v>
      </c>
      <c r="B397" s="5" t="str">
        <f>IFERROR(__xludf.DUMMYFUNCTION("""COMPUTED_VALUE"""),"Kru-3")</f>
        <v>Kru-3</v>
      </c>
      <c r="C397" s="5">
        <f>IFERROR(__xludf.DUMMYFUNCTION("""COMPUTED_VALUE"""),9416.0)</f>
        <v>9416</v>
      </c>
      <c r="D397" s="5"/>
      <c r="E397" s="5"/>
      <c r="F397" s="5">
        <f>IFERROR(__xludf.DUMMYFUNCTION("""COMPUTED_VALUE"""),1.0)</f>
        <v>1</v>
      </c>
      <c r="G397" s="5"/>
      <c r="H397" s="5"/>
      <c r="I397" s="5"/>
      <c r="J397" s="5" t="str">
        <f>IFERROR(__xludf.DUMMYFUNCTION("""COMPUTED_VALUE"""),"CS76986")</f>
        <v>CS76986</v>
      </c>
      <c r="K397" s="5" t="str">
        <f>IFERROR(__xludf.DUMMYFUNCTION("""COMPUTED_VALUE"""),"57.7215")</f>
        <v>57.7215</v>
      </c>
      <c r="L397" s="5" t="str">
        <f>IFERROR(__xludf.DUMMYFUNCTION("""COMPUTED_VALUE"""),"18.3837")</f>
        <v>18.3837</v>
      </c>
      <c r="M397" s="5"/>
      <c r="N397" s="5">
        <f>IFERROR(__xludf.DUMMYFUNCTION("""COMPUTED_VALUE"""),10.0)</f>
        <v>10</v>
      </c>
      <c r="O397" s="5"/>
      <c r="P397" s="5"/>
      <c r="Q397" s="5" t="str">
        <f>IFERROR(__xludf.DUMMYFUNCTION("""COMPUTED_VALUE"""),"no")</f>
        <v>no</v>
      </c>
      <c r="R397" s="5" t="str">
        <f>IFERROR(__xludf.DUMMYFUNCTION("""COMPUTED_VALUE"""),"ONT")</f>
        <v>ONT</v>
      </c>
      <c r="S397" s="5" t="str">
        <f>IFERROR(__xludf.DUMMYFUNCTION("""COMPUTED_VALUE"""),"Flye_v2.9-b1768")</f>
        <v>Flye_v2.9-b1768</v>
      </c>
      <c r="T397" s="6"/>
      <c r="U397" s="6">
        <f>IFERROR(__xludf.DUMMYFUNCTION("""COMPUTED_VALUE"""),2024.0)</f>
        <v>2024</v>
      </c>
      <c r="V397" s="6" t="str">
        <f>IFERROR(__xludf.DUMMYFUNCTION("""COMPUTED_VALUE"""),"no")</f>
        <v>no</v>
      </c>
      <c r="W397" s="6"/>
      <c r="X397" s="5"/>
      <c r="Y397" s="5" t="str">
        <f>IFERROR(__xludf.DUMMYFUNCTION("""COMPUTED_VALUE"""),"unpublished")</f>
        <v>unpublished</v>
      </c>
      <c r="Z397" s="5"/>
      <c r="AA397" s="5"/>
      <c r="AB397" s="5"/>
    </row>
    <row r="398">
      <c r="A398" s="5">
        <f>IFERROR(__xludf.DUMMYFUNCTION("""COMPUTED_VALUE"""),100396.0)</f>
        <v>100396</v>
      </c>
      <c r="B398" s="5" t="str">
        <f>IFERROR(__xludf.DUMMYFUNCTION("""COMPUTED_VALUE"""),"Lag1-2")</f>
        <v>Lag1-2</v>
      </c>
      <c r="C398" s="5">
        <f>IFERROR(__xludf.DUMMYFUNCTION("""COMPUTED_VALUE"""),9100.0)</f>
        <v>9100</v>
      </c>
      <c r="D398" s="5"/>
      <c r="E398" s="5"/>
      <c r="F398" s="5">
        <f>IFERROR(__xludf.DUMMYFUNCTION("""COMPUTED_VALUE"""),1.0)</f>
        <v>1</v>
      </c>
      <c r="G398" s="5"/>
      <c r="H398" s="5"/>
      <c r="I398" s="5"/>
      <c r="J398" s="5" t="str">
        <f>IFERROR(__xludf.DUMMYFUNCTION("""COMPUTED_VALUE"""),"CS76998")</f>
        <v>CS76998</v>
      </c>
      <c r="K398" s="5" t="str">
        <f>IFERROR(__xludf.DUMMYFUNCTION("""COMPUTED_VALUE"""),"41.8296")</f>
        <v>41.8296</v>
      </c>
      <c r="L398" s="5" t="str">
        <f>IFERROR(__xludf.DUMMYFUNCTION("""COMPUTED_VALUE"""),"46.2831")</f>
        <v>46.2831</v>
      </c>
      <c r="M398" s="5"/>
      <c r="N398" s="5">
        <f>IFERROR(__xludf.DUMMYFUNCTION("""COMPUTED_VALUE"""),17.0)</f>
        <v>17</v>
      </c>
      <c r="O398" s="5"/>
      <c r="P398" s="5"/>
      <c r="Q398" s="5" t="str">
        <f>IFERROR(__xludf.DUMMYFUNCTION("""COMPUTED_VALUE"""),"no")</f>
        <v>no</v>
      </c>
      <c r="R398" s="5" t="str">
        <f>IFERROR(__xludf.DUMMYFUNCTION("""COMPUTED_VALUE"""),"ONT")</f>
        <v>ONT</v>
      </c>
      <c r="S398" s="5" t="str">
        <f>IFERROR(__xludf.DUMMYFUNCTION("""COMPUTED_VALUE"""),"Flye_v2.9-b1768")</f>
        <v>Flye_v2.9-b1768</v>
      </c>
      <c r="T398" s="6"/>
      <c r="U398" s="6">
        <f>IFERROR(__xludf.DUMMYFUNCTION("""COMPUTED_VALUE"""),2024.0)</f>
        <v>2024</v>
      </c>
      <c r="V398" s="6" t="str">
        <f>IFERROR(__xludf.DUMMYFUNCTION("""COMPUTED_VALUE"""),"no")</f>
        <v>no</v>
      </c>
      <c r="W398" s="6"/>
      <c r="X398" s="5"/>
      <c r="Y398" s="5" t="str">
        <f>IFERROR(__xludf.DUMMYFUNCTION("""COMPUTED_VALUE"""),"unpublished")</f>
        <v>unpublished</v>
      </c>
      <c r="Z398" s="5"/>
      <c r="AA398" s="5"/>
      <c r="AB398" s="5"/>
    </row>
    <row r="399">
      <c r="A399" s="5">
        <f>IFERROR(__xludf.DUMMYFUNCTION("""COMPUTED_VALUE"""),100397.0)</f>
        <v>100397</v>
      </c>
      <c r="B399" s="5" t="str">
        <f>IFERROR(__xludf.DUMMYFUNCTION("""COMPUTED_VALUE"""),"Lag1-7")</f>
        <v>Lag1-7</v>
      </c>
      <c r="C399" s="5">
        <f>IFERROR(__xludf.DUMMYFUNCTION("""COMPUTED_VALUE"""),9105.0)</f>
        <v>9105</v>
      </c>
      <c r="D399" s="5"/>
      <c r="E399" s="5"/>
      <c r="F399" s="5">
        <f>IFERROR(__xludf.DUMMYFUNCTION("""COMPUTED_VALUE"""),1.0)</f>
        <v>1</v>
      </c>
      <c r="G399" s="5"/>
      <c r="H399" s="5"/>
      <c r="I399" s="5"/>
      <c r="J399" s="5" t="str">
        <f>IFERROR(__xludf.DUMMYFUNCTION("""COMPUTED_VALUE"""),"CS77002")</f>
        <v>CS77002</v>
      </c>
      <c r="K399" s="5" t="str">
        <f>IFERROR(__xludf.DUMMYFUNCTION("""COMPUTED_VALUE"""),"41.8296")</f>
        <v>41.8296</v>
      </c>
      <c r="L399" s="5" t="str">
        <f>IFERROR(__xludf.DUMMYFUNCTION("""COMPUTED_VALUE"""),"46.2831")</f>
        <v>46.2831</v>
      </c>
      <c r="M399" s="5"/>
      <c r="N399" s="5">
        <f>IFERROR(__xludf.DUMMYFUNCTION("""COMPUTED_VALUE"""),10.0)</f>
        <v>10</v>
      </c>
      <c r="O399" s="5"/>
      <c r="P399" s="5"/>
      <c r="Q399" s="5" t="str">
        <f>IFERROR(__xludf.DUMMYFUNCTION("""COMPUTED_VALUE"""),"no")</f>
        <v>no</v>
      </c>
      <c r="R399" s="5" t="str">
        <f>IFERROR(__xludf.DUMMYFUNCTION("""COMPUTED_VALUE"""),"ONT")</f>
        <v>ONT</v>
      </c>
      <c r="S399" s="5" t="str">
        <f>IFERROR(__xludf.DUMMYFUNCTION("""COMPUTED_VALUE"""),"nextDenovo_v2.5.0")</f>
        <v>nextDenovo_v2.5.0</v>
      </c>
      <c r="T399" s="6"/>
      <c r="U399" s="6">
        <f>IFERROR(__xludf.DUMMYFUNCTION("""COMPUTED_VALUE"""),2024.0)</f>
        <v>2024</v>
      </c>
      <c r="V399" s="6" t="str">
        <f>IFERROR(__xludf.DUMMYFUNCTION("""COMPUTED_VALUE"""),"no")</f>
        <v>no</v>
      </c>
      <c r="W399" s="6"/>
      <c r="X399" s="5"/>
      <c r="Y399" s="5" t="str">
        <f>IFERROR(__xludf.DUMMYFUNCTION("""COMPUTED_VALUE"""),"unpublished")</f>
        <v>unpublished</v>
      </c>
      <c r="Z399" s="5"/>
      <c r="AA399" s="5"/>
      <c r="AB399" s="5"/>
    </row>
    <row r="400">
      <c r="A400" s="5">
        <f>IFERROR(__xludf.DUMMYFUNCTION("""COMPUTED_VALUE"""),100398.0)</f>
        <v>100398</v>
      </c>
      <c r="B400" s="5" t="str">
        <f>IFERROR(__xludf.DUMMYFUNCTION("""COMPUTED_VALUE"""),"Lerik2-7")</f>
        <v>Lerik2-7</v>
      </c>
      <c r="C400" s="5">
        <f>IFERROR(__xludf.DUMMYFUNCTION("""COMPUTED_VALUE"""),9085.0)</f>
        <v>9085</v>
      </c>
      <c r="D400" s="5"/>
      <c r="E400" s="5"/>
      <c r="F400" s="5">
        <f>IFERROR(__xludf.DUMMYFUNCTION("""COMPUTED_VALUE"""),1.0)</f>
        <v>1</v>
      </c>
      <c r="G400" s="5"/>
      <c r="H400" s="5"/>
      <c r="I400" s="5"/>
      <c r="J400" s="5" t="str">
        <f>IFERROR(__xludf.DUMMYFUNCTION("""COMPUTED_VALUE"""),"CS77029")</f>
        <v>CS77029</v>
      </c>
      <c r="K400" s="5" t="str">
        <f>IFERROR(__xludf.DUMMYFUNCTION("""COMPUTED_VALUE"""),"38.7833")</f>
        <v>38.7833</v>
      </c>
      <c r="L400" s="5" t="str">
        <f>IFERROR(__xludf.DUMMYFUNCTION("""COMPUTED_VALUE"""),"48.5517")</f>
        <v>48.5517</v>
      </c>
      <c r="M400" s="5"/>
      <c r="N400" s="5">
        <f>IFERROR(__xludf.DUMMYFUNCTION("""COMPUTED_VALUE"""),15.0)</f>
        <v>15</v>
      </c>
      <c r="O400" s="5"/>
      <c r="P400" s="5"/>
      <c r="Q400" s="5" t="str">
        <f>IFERROR(__xludf.DUMMYFUNCTION("""COMPUTED_VALUE"""),"no")</f>
        <v>no</v>
      </c>
      <c r="R400" s="5" t="str">
        <f>IFERROR(__xludf.DUMMYFUNCTION("""COMPUTED_VALUE"""),"ONT")</f>
        <v>ONT</v>
      </c>
      <c r="S400" s="5" t="str">
        <f>IFERROR(__xludf.DUMMYFUNCTION("""COMPUTED_VALUE"""),"nextDenovo_v2.5.0")</f>
        <v>nextDenovo_v2.5.0</v>
      </c>
      <c r="T400" s="6"/>
      <c r="U400" s="6">
        <f>IFERROR(__xludf.DUMMYFUNCTION("""COMPUTED_VALUE"""),2024.0)</f>
        <v>2024</v>
      </c>
      <c r="V400" s="6" t="str">
        <f>IFERROR(__xludf.DUMMYFUNCTION("""COMPUTED_VALUE"""),"no")</f>
        <v>no</v>
      </c>
      <c r="W400" s="6"/>
      <c r="X400" s="5"/>
      <c r="Y400" s="5" t="str">
        <f>IFERROR(__xludf.DUMMYFUNCTION("""COMPUTED_VALUE"""),"unpublished")</f>
        <v>unpublished</v>
      </c>
      <c r="Z400" s="5"/>
      <c r="AA400" s="5"/>
      <c r="AB400" s="5"/>
    </row>
    <row r="401">
      <c r="A401" s="5">
        <f>IFERROR(__xludf.DUMMYFUNCTION("""COMPUTED_VALUE"""),100399.0)</f>
        <v>100399</v>
      </c>
      <c r="B401" s="5" t="str">
        <f>IFERROR(__xludf.DUMMYFUNCTION("""COMPUTED_VALUE"""),"LI-EF-011")</f>
        <v>LI-EF-011</v>
      </c>
      <c r="C401" s="5">
        <f>IFERROR(__xludf.DUMMYFUNCTION("""COMPUTED_VALUE"""),685.0)</f>
        <v>685</v>
      </c>
      <c r="D401" s="5"/>
      <c r="E401" s="5"/>
      <c r="F401" s="5">
        <f>IFERROR(__xludf.DUMMYFUNCTION("""COMPUTED_VALUE"""),1.0)</f>
        <v>1</v>
      </c>
      <c r="G401" s="5"/>
      <c r="H401" s="5"/>
      <c r="I401" s="5"/>
      <c r="J401" s="5" t="str">
        <f>IFERROR(__xludf.DUMMYFUNCTION("""COMPUTED_VALUE"""),"CS78954")</f>
        <v>CS78954</v>
      </c>
      <c r="K401" s="5" t="str">
        <f>IFERROR(__xludf.DUMMYFUNCTION("""COMPUTED_VALUE"""),"40.9064")</f>
        <v>40.9064</v>
      </c>
      <c r="L401" s="5" t="str">
        <f>IFERROR(__xludf.DUMMYFUNCTION("""COMPUTED_VALUE"""),"-73.1493")</f>
        <v>-73.1493</v>
      </c>
      <c r="M401" s="5"/>
      <c r="N401" s="5">
        <f>IFERROR(__xludf.DUMMYFUNCTION("""COMPUTED_VALUE"""),29.0)</f>
        <v>29</v>
      </c>
      <c r="O401" s="5"/>
      <c r="P401" s="5"/>
      <c r="Q401" s="5" t="str">
        <f>IFERROR(__xludf.DUMMYFUNCTION("""COMPUTED_VALUE"""),"no")</f>
        <v>no</v>
      </c>
      <c r="R401" s="5" t="str">
        <f>IFERROR(__xludf.DUMMYFUNCTION("""COMPUTED_VALUE"""),"ONT")</f>
        <v>ONT</v>
      </c>
      <c r="S401" s="5" t="str">
        <f>IFERROR(__xludf.DUMMYFUNCTION("""COMPUTED_VALUE"""),"Flye_v2.9-b1768")</f>
        <v>Flye_v2.9-b1768</v>
      </c>
      <c r="T401" s="6"/>
      <c r="U401" s="6">
        <f>IFERROR(__xludf.DUMMYFUNCTION("""COMPUTED_VALUE"""),2024.0)</f>
        <v>2024</v>
      </c>
      <c r="V401" s="6" t="str">
        <f>IFERROR(__xludf.DUMMYFUNCTION("""COMPUTED_VALUE"""),"no")</f>
        <v>no</v>
      </c>
      <c r="W401" s="6"/>
      <c r="X401" s="5"/>
      <c r="Y401" s="5" t="str">
        <f>IFERROR(__xludf.DUMMYFUNCTION("""COMPUTED_VALUE"""),"unpublished")</f>
        <v>unpublished</v>
      </c>
      <c r="Z401" s="5"/>
      <c r="AA401" s="5"/>
      <c r="AB401" s="5"/>
    </row>
    <row r="402">
      <c r="A402" s="5">
        <f>IFERROR(__xludf.DUMMYFUNCTION("""COMPUTED_VALUE"""),100400.0)</f>
        <v>100400</v>
      </c>
      <c r="B402" s="5" t="str">
        <f>IFERROR(__xludf.DUMMYFUNCTION("""COMPUTED_VALUE"""),"LI-WP-039")</f>
        <v>LI-WP-039</v>
      </c>
      <c r="C402" s="5">
        <f>IFERROR(__xludf.DUMMYFUNCTION("""COMPUTED_VALUE"""),544.0)</f>
        <v>544</v>
      </c>
      <c r="D402" s="5"/>
      <c r="E402" s="5"/>
      <c r="F402" s="5">
        <f>IFERROR(__xludf.DUMMYFUNCTION("""COMPUTED_VALUE"""),1.0)</f>
        <v>1</v>
      </c>
      <c r="G402" s="5"/>
      <c r="H402" s="5"/>
      <c r="I402" s="5"/>
      <c r="J402" s="5" t="str">
        <f>IFERROR(__xludf.DUMMYFUNCTION("""COMPUTED_VALUE"""),"CS78949")</f>
        <v>CS78949</v>
      </c>
      <c r="K402" s="5" t="str">
        <f>IFERROR(__xludf.DUMMYFUNCTION("""COMPUTED_VALUE"""),"40.9076")</f>
        <v>40.9076</v>
      </c>
      <c r="L402" s="5" t="str">
        <f>IFERROR(__xludf.DUMMYFUNCTION("""COMPUTED_VALUE"""),"-73.2089")</f>
        <v>-73.2089</v>
      </c>
      <c r="M402" s="5"/>
      <c r="N402" s="5">
        <f>IFERROR(__xludf.DUMMYFUNCTION("""COMPUTED_VALUE"""),21.0)</f>
        <v>21</v>
      </c>
      <c r="O402" s="5"/>
      <c r="P402" s="5"/>
      <c r="Q402" s="5" t="str">
        <f>IFERROR(__xludf.DUMMYFUNCTION("""COMPUTED_VALUE"""),"no")</f>
        <v>no</v>
      </c>
      <c r="R402" s="5" t="str">
        <f>IFERROR(__xludf.DUMMYFUNCTION("""COMPUTED_VALUE"""),"ONT")</f>
        <v>ONT</v>
      </c>
      <c r="S402" s="5" t="str">
        <f>IFERROR(__xludf.DUMMYFUNCTION("""COMPUTED_VALUE"""),"Flye_v2.9-b1768")</f>
        <v>Flye_v2.9-b1768</v>
      </c>
      <c r="T402" s="6"/>
      <c r="U402" s="6">
        <f>IFERROR(__xludf.DUMMYFUNCTION("""COMPUTED_VALUE"""),2024.0)</f>
        <v>2024</v>
      </c>
      <c r="V402" s="6" t="str">
        <f>IFERROR(__xludf.DUMMYFUNCTION("""COMPUTED_VALUE"""),"no")</f>
        <v>no</v>
      </c>
      <c r="W402" s="6"/>
      <c r="X402" s="5"/>
      <c r="Y402" s="5" t="str">
        <f>IFERROR(__xludf.DUMMYFUNCTION("""COMPUTED_VALUE"""),"unpublished")</f>
        <v>unpublished</v>
      </c>
      <c r="Z402" s="5"/>
      <c r="AA402" s="5"/>
      <c r="AB402" s="5"/>
    </row>
    <row r="403">
      <c r="A403" s="5">
        <f>IFERROR(__xludf.DUMMYFUNCTION("""COMPUTED_VALUE"""),100401.0)</f>
        <v>100401</v>
      </c>
      <c r="B403" s="5" t="str">
        <f>IFERROR(__xludf.DUMMYFUNCTION("""COMPUTED_VALUE"""),"Lov-1")</f>
        <v>Lov-1</v>
      </c>
      <c r="C403" s="5">
        <f>IFERROR(__xludf.DUMMYFUNCTION("""COMPUTED_VALUE"""),6043.0)</f>
        <v>6043</v>
      </c>
      <c r="D403" s="5"/>
      <c r="E403" s="5"/>
      <c r="F403" s="5">
        <f>IFERROR(__xludf.DUMMYFUNCTION("""COMPUTED_VALUE"""),1.0)</f>
        <v>1</v>
      </c>
      <c r="G403" s="5"/>
      <c r="H403" s="5"/>
      <c r="I403" s="5"/>
      <c r="J403" s="5" t="str">
        <f>IFERROR(__xludf.DUMMYFUNCTION("""COMPUTED_VALUE"""),"CS77049")</f>
        <v>CS77049</v>
      </c>
      <c r="K403" s="5" t="str">
        <f>IFERROR(__xludf.DUMMYFUNCTION("""COMPUTED_VALUE"""),"62.801")</f>
        <v>62.801</v>
      </c>
      <c r="L403" s="5" t="str">
        <f>IFERROR(__xludf.DUMMYFUNCTION("""COMPUTED_VALUE"""),"18.079")</f>
        <v>18.079</v>
      </c>
      <c r="M403" s="5"/>
      <c r="N403" s="5">
        <f>IFERROR(__xludf.DUMMYFUNCTION("""COMPUTED_VALUE"""),13.0)</f>
        <v>13</v>
      </c>
      <c r="O403" s="5"/>
      <c r="P403" s="5"/>
      <c r="Q403" s="5" t="str">
        <f>IFERROR(__xludf.DUMMYFUNCTION("""COMPUTED_VALUE"""),"no")</f>
        <v>no</v>
      </c>
      <c r="R403" s="5" t="str">
        <f>IFERROR(__xludf.DUMMYFUNCTION("""COMPUTED_VALUE"""),"ONT")</f>
        <v>ONT</v>
      </c>
      <c r="S403" s="5" t="str">
        <f>IFERROR(__xludf.DUMMYFUNCTION("""COMPUTED_VALUE"""),"nextDenovo_v2.5.0")</f>
        <v>nextDenovo_v2.5.0</v>
      </c>
      <c r="T403" s="6"/>
      <c r="U403" s="6">
        <f>IFERROR(__xludf.DUMMYFUNCTION("""COMPUTED_VALUE"""),2024.0)</f>
        <v>2024</v>
      </c>
      <c r="V403" s="6" t="str">
        <f>IFERROR(__xludf.DUMMYFUNCTION("""COMPUTED_VALUE"""),"no")</f>
        <v>no</v>
      </c>
      <c r="W403" s="6"/>
      <c r="X403" s="5"/>
      <c r="Y403" s="5" t="str">
        <f>IFERROR(__xludf.DUMMYFUNCTION("""COMPUTED_VALUE"""),"unpublished")</f>
        <v>unpublished</v>
      </c>
      <c r="Z403" s="5"/>
      <c r="AA403" s="5"/>
      <c r="AB403" s="5"/>
    </row>
    <row r="404">
      <c r="A404" s="5">
        <f>IFERROR(__xludf.DUMMYFUNCTION("""COMPUTED_VALUE"""),100402.0)</f>
        <v>100402</v>
      </c>
      <c r="B404" s="5" t="str">
        <f>IFERROR(__xludf.DUMMYFUNCTION("""COMPUTED_VALUE"""),"Lv-5")</f>
        <v>Lv-5</v>
      </c>
      <c r="C404" s="5">
        <f>IFERROR(__xludf.DUMMYFUNCTION("""COMPUTED_VALUE"""),6046.0)</f>
        <v>6046</v>
      </c>
      <c r="D404" s="5"/>
      <c r="E404" s="5"/>
      <c r="F404" s="5">
        <f>IFERROR(__xludf.DUMMYFUNCTION("""COMPUTED_VALUE"""),1.0)</f>
        <v>1</v>
      </c>
      <c r="G404" s="5"/>
      <c r="H404" s="5"/>
      <c r="I404" s="5"/>
      <c r="J404" s="5" t="str">
        <f>IFERROR(__xludf.DUMMYFUNCTION("""COMPUTED_VALUE"""),"CS77050")</f>
        <v>CS77050</v>
      </c>
      <c r="K404" s="5" t="str">
        <f>IFERROR(__xludf.DUMMYFUNCTION("""COMPUTED_VALUE"""),"62.801")</f>
        <v>62.801</v>
      </c>
      <c r="L404" s="5" t="str">
        <f>IFERROR(__xludf.DUMMYFUNCTION("""COMPUTED_VALUE"""),"18.079")</f>
        <v>18.079</v>
      </c>
      <c r="M404" s="5"/>
      <c r="N404" s="5">
        <f>IFERROR(__xludf.DUMMYFUNCTION("""COMPUTED_VALUE"""),16.0)</f>
        <v>16</v>
      </c>
      <c r="O404" s="5"/>
      <c r="P404" s="5"/>
      <c r="Q404" s="5" t="str">
        <f>IFERROR(__xludf.DUMMYFUNCTION("""COMPUTED_VALUE"""),"no")</f>
        <v>no</v>
      </c>
      <c r="R404" s="5" t="str">
        <f>IFERROR(__xludf.DUMMYFUNCTION("""COMPUTED_VALUE"""),"ONT")</f>
        <v>ONT</v>
      </c>
      <c r="S404" s="5" t="str">
        <f>IFERROR(__xludf.DUMMYFUNCTION("""COMPUTED_VALUE"""),"Flye_v2.9-b1768")</f>
        <v>Flye_v2.9-b1768</v>
      </c>
      <c r="T404" s="6"/>
      <c r="U404" s="6">
        <f>IFERROR(__xludf.DUMMYFUNCTION("""COMPUTED_VALUE"""),2024.0)</f>
        <v>2024</v>
      </c>
      <c r="V404" s="6" t="str">
        <f>IFERROR(__xludf.DUMMYFUNCTION("""COMPUTED_VALUE"""),"no")</f>
        <v>no</v>
      </c>
      <c r="W404" s="6"/>
      <c r="X404" s="5"/>
      <c r="Y404" s="5" t="str">
        <f>IFERROR(__xludf.DUMMYFUNCTION("""COMPUTED_VALUE"""),"unpublished")</f>
        <v>unpublished</v>
      </c>
      <c r="Z404" s="5"/>
      <c r="AA404" s="5"/>
      <c r="AB404" s="5"/>
    </row>
    <row r="405">
      <c r="A405" s="5">
        <f>IFERROR(__xludf.DUMMYFUNCTION("""COMPUTED_VALUE"""),100403.0)</f>
        <v>100403</v>
      </c>
      <c r="B405" s="5" t="str">
        <f>IFERROR(__xludf.DUMMYFUNCTION("""COMPUTED_VALUE"""),"MIA-1")</f>
        <v>MIA-1</v>
      </c>
      <c r="C405" s="5">
        <f>IFERROR(__xludf.DUMMYFUNCTION("""COMPUTED_VALUE"""),853.0)</f>
        <v>853</v>
      </c>
      <c r="D405" s="5"/>
      <c r="E405" s="5"/>
      <c r="F405" s="5">
        <f>IFERROR(__xludf.DUMMYFUNCTION("""COMPUTED_VALUE"""),1.0)</f>
        <v>1</v>
      </c>
      <c r="G405" s="5"/>
      <c r="H405" s="5"/>
      <c r="I405" s="5"/>
      <c r="J405" s="5" t="str">
        <f>IFERROR(__xludf.DUMMYFUNCTION("""COMPUTED_VALUE"""),"CS78958")</f>
        <v>CS78958</v>
      </c>
      <c r="K405" s="5" t="str">
        <f>IFERROR(__xludf.DUMMYFUNCTION("""COMPUTED_VALUE"""),"41.7976")</f>
        <v>41.7976</v>
      </c>
      <c r="L405" s="5" t="str">
        <f>IFERROR(__xludf.DUMMYFUNCTION("""COMPUTED_VALUE"""),"-86.6691")</f>
        <v>-86.6691</v>
      </c>
      <c r="M405" s="5"/>
      <c r="N405" s="5">
        <f>IFERROR(__xludf.DUMMYFUNCTION("""COMPUTED_VALUE"""),25.0)</f>
        <v>25</v>
      </c>
      <c r="O405" s="5"/>
      <c r="P405" s="5"/>
      <c r="Q405" s="5" t="str">
        <f>IFERROR(__xludf.DUMMYFUNCTION("""COMPUTED_VALUE"""),"no")</f>
        <v>no</v>
      </c>
      <c r="R405" s="5" t="str">
        <f>IFERROR(__xludf.DUMMYFUNCTION("""COMPUTED_VALUE"""),"ONT")</f>
        <v>ONT</v>
      </c>
      <c r="S405" s="5" t="str">
        <f>IFERROR(__xludf.DUMMYFUNCTION("""COMPUTED_VALUE"""),"Flye_v2.9-b1768")</f>
        <v>Flye_v2.9-b1768</v>
      </c>
      <c r="T405" s="6"/>
      <c r="U405" s="6">
        <f>IFERROR(__xludf.DUMMYFUNCTION("""COMPUTED_VALUE"""),2024.0)</f>
        <v>2024</v>
      </c>
      <c r="V405" s="6" t="str">
        <f>IFERROR(__xludf.DUMMYFUNCTION("""COMPUTED_VALUE"""),"no")</f>
        <v>no</v>
      </c>
      <c r="W405" s="6"/>
      <c r="X405" s="5"/>
      <c r="Y405" s="5" t="str">
        <f>IFERROR(__xludf.DUMMYFUNCTION("""COMPUTED_VALUE"""),"unpublished")</f>
        <v>unpublished</v>
      </c>
      <c r="Z405" s="5"/>
      <c r="AA405" s="5"/>
      <c r="AB405" s="5"/>
    </row>
    <row r="406">
      <c r="A406" s="5">
        <f>IFERROR(__xludf.DUMMYFUNCTION("""COMPUTED_VALUE"""),100404.0)</f>
        <v>100404</v>
      </c>
      <c r="B406" s="5" t="str">
        <f>IFERROR(__xludf.DUMMYFUNCTION("""COMPUTED_VALUE"""),"MIA-5")</f>
        <v>MIA-5</v>
      </c>
      <c r="C406" s="5">
        <f>IFERROR(__xludf.DUMMYFUNCTION("""COMPUTED_VALUE"""),854.0)</f>
        <v>854</v>
      </c>
      <c r="D406" s="5"/>
      <c r="E406" s="5"/>
      <c r="F406" s="5">
        <f>IFERROR(__xludf.DUMMYFUNCTION("""COMPUTED_VALUE"""),1.0)</f>
        <v>1</v>
      </c>
      <c r="G406" s="5"/>
      <c r="H406" s="5"/>
      <c r="I406" s="5"/>
      <c r="J406" s="5" t="str">
        <f>IFERROR(__xludf.DUMMYFUNCTION("""COMPUTED_VALUE"""),"CS78959")</f>
        <v>CS78959</v>
      </c>
      <c r="K406" s="5" t="str">
        <f>IFERROR(__xludf.DUMMYFUNCTION("""COMPUTED_VALUE"""),"41.7976")</f>
        <v>41.7976</v>
      </c>
      <c r="L406" s="5" t="str">
        <f>IFERROR(__xludf.DUMMYFUNCTION("""COMPUTED_VALUE"""),"-86.6691")</f>
        <v>-86.6691</v>
      </c>
      <c r="M406" s="5"/>
      <c r="N406" s="5">
        <f>IFERROR(__xludf.DUMMYFUNCTION("""COMPUTED_VALUE"""),21.0)</f>
        <v>21</v>
      </c>
      <c r="O406" s="5"/>
      <c r="P406" s="5"/>
      <c r="Q406" s="5" t="str">
        <f>IFERROR(__xludf.DUMMYFUNCTION("""COMPUTED_VALUE"""),"no")</f>
        <v>no</v>
      </c>
      <c r="R406" s="5" t="str">
        <f>IFERROR(__xludf.DUMMYFUNCTION("""COMPUTED_VALUE"""),"ONT")</f>
        <v>ONT</v>
      </c>
      <c r="S406" s="5" t="str">
        <f>IFERROR(__xludf.DUMMYFUNCTION("""COMPUTED_VALUE"""),"Flye_v2.9-b1768")</f>
        <v>Flye_v2.9-b1768</v>
      </c>
      <c r="T406" s="6"/>
      <c r="U406" s="6">
        <f>IFERROR(__xludf.DUMMYFUNCTION("""COMPUTED_VALUE"""),2024.0)</f>
        <v>2024</v>
      </c>
      <c r="V406" s="6" t="str">
        <f>IFERROR(__xludf.DUMMYFUNCTION("""COMPUTED_VALUE"""),"no")</f>
        <v>no</v>
      </c>
      <c r="W406" s="6"/>
      <c r="X406" s="5"/>
      <c r="Y406" s="5" t="str">
        <f>IFERROR(__xludf.DUMMYFUNCTION("""COMPUTED_VALUE"""),"unpublished")</f>
        <v>unpublished</v>
      </c>
      <c r="Z406" s="5"/>
      <c r="AA406" s="5"/>
      <c r="AB406" s="5"/>
    </row>
    <row r="407">
      <c r="A407" s="5">
        <f>IFERROR(__xludf.DUMMYFUNCTION("""COMPUTED_VALUE"""),100405.0)</f>
        <v>100405</v>
      </c>
      <c r="B407" s="5" t="str">
        <f>IFERROR(__xludf.DUMMYFUNCTION("""COMPUTED_VALUE"""),"Neo-6")</f>
        <v>Neo-6</v>
      </c>
      <c r="C407" s="5">
        <f>IFERROR(__xludf.DUMMYFUNCTION("""COMPUTED_VALUE"""),772.0)</f>
        <v>772</v>
      </c>
      <c r="D407" s="5"/>
      <c r="E407" s="5"/>
      <c r="F407" s="5">
        <f>IFERROR(__xludf.DUMMYFUNCTION("""COMPUTED_VALUE"""),1.0)</f>
        <v>1</v>
      </c>
      <c r="G407" s="5"/>
      <c r="H407" s="5"/>
      <c r="I407" s="5"/>
      <c r="J407" s="5" t="str">
        <f>IFERROR(__xludf.DUMMYFUNCTION("""COMPUTED_VALUE"""),"CS76560")</f>
        <v>CS76560</v>
      </c>
      <c r="K407" s="5" t="str">
        <f>IFERROR(__xludf.DUMMYFUNCTION("""COMPUTED_VALUE"""),"37.35")</f>
        <v>37.35</v>
      </c>
      <c r="L407" s="5" t="str">
        <f>IFERROR(__xludf.DUMMYFUNCTION("""COMPUTED_VALUE"""),"72.4667")</f>
        <v>72.4667</v>
      </c>
      <c r="M407" s="5"/>
      <c r="N407" s="5">
        <f>IFERROR(__xludf.DUMMYFUNCTION("""COMPUTED_VALUE"""),12.0)</f>
        <v>12</v>
      </c>
      <c r="O407" s="5"/>
      <c r="P407" s="5"/>
      <c r="Q407" s="5" t="str">
        <f>IFERROR(__xludf.DUMMYFUNCTION("""COMPUTED_VALUE"""),"no")</f>
        <v>no</v>
      </c>
      <c r="R407" s="5" t="str">
        <f>IFERROR(__xludf.DUMMYFUNCTION("""COMPUTED_VALUE"""),"ONT")</f>
        <v>ONT</v>
      </c>
      <c r="S407" s="5" t="str">
        <f>IFERROR(__xludf.DUMMYFUNCTION("""COMPUTED_VALUE"""),"Flye_v2.9-b1768")</f>
        <v>Flye_v2.9-b1768</v>
      </c>
      <c r="T407" s="6"/>
      <c r="U407" s="6">
        <f>IFERROR(__xludf.DUMMYFUNCTION("""COMPUTED_VALUE"""),2024.0)</f>
        <v>2024</v>
      </c>
      <c r="V407" s="6" t="str">
        <f>IFERROR(__xludf.DUMMYFUNCTION("""COMPUTED_VALUE"""),"no")</f>
        <v>no</v>
      </c>
      <c r="W407" s="6"/>
      <c r="X407" s="5"/>
      <c r="Y407" s="5" t="str">
        <f>IFERROR(__xludf.DUMMYFUNCTION("""COMPUTED_VALUE"""),"unpublished")</f>
        <v>unpublished</v>
      </c>
      <c r="Z407" s="5"/>
      <c r="AA407" s="5"/>
      <c r="AB407" s="5"/>
    </row>
    <row r="408">
      <c r="A408" s="5">
        <f>IFERROR(__xludf.DUMMYFUNCTION("""COMPUTED_VALUE"""),100406.0)</f>
        <v>100406</v>
      </c>
      <c r="B408" s="5" t="str">
        <f>IFERROR(__xludf.DUMMYFUNCTION("""COMPUTED_VALUE"""),"NFA-10")</f>
        <v>NFA-10</v>
      </c>
      <c r="C408" s="5">
        <f>IFERROR(__xludf.DUMMYFUNCTION("""COMPUTED_VALUE"""),6943.0)</f>
        <v>6943</v>
      </c>
      <c r="D408" s="5"/>
      <c r="E408" s="5"/>
      <c r="F408" s="5">
        <f>IFERROR(__xludf.DUMMYFUNCTION("""COMPUTED_VALUE"""),1.0)</f>
        <v>1</v>
      </c>
      <c r="G408" s="5"/>
      <c r="H408" s="5"/>
      <c r="I408" s="5"/>
      <c r="J408" s="5" t="str">
        <f>IFERROR(__xludf.DUMMYFUNCTION("""COMPUTED_VALUE"""),"CS77126")</f>
        <v>CS77126</v>
      </c>
      <c r="K408" s="5" t="str">
        <f>IFERROR(__xludf.DUMMYFUNCTION("""COMPUTED_VALUE"""),"51.4083")</f>
        <v>51.4083</v>
      </c>
      <c r="L408" s="5" t="str">
        <f>IFERROR(__xludf.DUMMYFUNCTION("""COMPUTED_VALUE"""),"-0.6383")</f>
        <v>-0.6383</v>
      </c>
      <c r="M408" s="5"/>
      <c r="N408" s="5">
        <f>IFERROR(__xludf.DUMMYFUNCTION("""COMPUTED_VALUE"""),16.0)</f>
        <v>16</v>
      </c>
      <c r="O408" s="5"/>
      <c r="P408" s="5"/>
      <c r="Q408" s="5" t="str">
        <f>IFERROR(__xludf.DUMMYFUNCTION("""COMPUTED_VALUE"""),"no")</f>
        <v>no</v>
      </c>
      <c r="R408" s="5" t="str">
        <f>IFERROR(__xludf.DUMMYFUNCTION("""COMPUTED_VALUE"""),"ONT")</f>
        <v>ONT</v>
      </c>
      <c r="S408" s="5" t="str">
        <f>IFERROR(__xludf.DUMMYFUNCTION("""COMPUTED_VALUE"""),"Flye_v2.9-b1768")</f>
        <v>Flye_v2.9-b1768</v>
      </c>
      <c r="T408" s="6"/>
      <c r="U408" s="6">
        <f>IFERROR(__xludf.DUMMYFUNCTION("""COMPUTED_VALUE"""),2024.0)</f>
        <v>2024</v>
      </c>
      <c r="V408" s="6" t="str">
        <f>IFERROR(__xludf.DUMMYFUNCTION("""COMPUTED_VALUE"""),"no")</f>
        <v>no</v>
      </c>
      <c r="W408" s="6"/>
      <c r="X408" s="5"/>
      <c r="Y408" s="5" t="str">
        <f>IFERROR(__xludf.DUMMYFUNCTION("""COMPUTED_VALUE"""),"unpublished")</f>
        <v>unpublished</v>
      </c>
      <c r="Z408" s="5"/>
      <c r="AA408" s="5"/>
      <c r="AB408" s="5"/>
    </row>
    <row r="409">
      <c r="A409" s="5">
        <f>IFERROR(__xludf.DUMMYFUNCTION("""COMPUTED_VALUE"""),100407.0)</f>
        <v>100407</v>
      </c>
      <c r="B409" s="5" t="str">
        <f>IFERROR(__xludf.DUMMYFUNCTION("""COMPUTED_VALUE"""),"Nyl-13")</f>
        <v>Nyl-13</v>
      </c>
      <c r="C409" s="5">
        <f>IFERROR(__xludf.DUMMYFUNCTION("""COMPUTED_VALUE"""),9433.0)</f>
        <v>9433</v>
      </c>
      <c r="D409" s="5"/>
      <c r="E409" s="5"/>
      <c r="F409" s="5">
        <f>IFERROR(__xludf.DUMMYFUNCTION("""COMPUTED_VALUE"""),1.0)</f>
        <v>1</v>
      </c>
      <c r="G409" s="5"/>
      <c r="H409" s="5"/>
      <c r="I409" s="5"/>
      <c r="J409" s="5" t="str">
        <f>IFERROR(__xludf.DUMMYFUNCTION("""COMPUTED_VALUE"""),"CS77135")</f>
        <v>CS77135</v>
      </c>
      <c r="K409" s="5" t="str">
        <f>IFERROR(__xludf.DUMMYFUNCTION("""COMPUTED_VALUE"""),"62.9513")</f>
        <v>62.9513</v>
      </c>
      <c r="L409" s="5" t="str">
        <f>IFERROR(__xludf.DUMMYFUNCTION("""COMPUTED_VALUE"""),"18.2763")</f>
        <v>18.2763</v>
      </c>
      <c r="M409" s="5"/>
      <c r="N409" s="5">
        <f>IFERROR(__xludf.DUMMYFUNCTION("""COMPUTED_VALUE"""),16.0)</f>
        <v>16</v>
      </c>
      <c r="O409" s="5"/>
      <c r="P409" s="5"/>
      <c r="Q409" s="5" t="str">
        <f>IFERROR(__xludf.DUMMYFUNCTION("""COMPUTED_VALUE"""),"no")</f>
        <v>no</v>
      </c>
      <c r="R409" s="5" t="str">
        <f>IFERROR(__xludf.DUMMYFUNCTION("""COMPUTED_VALUE"""),"ONT")</f>
        <v>ONT</v>
      </c>
      <c r="S409" s="5" t="str">
        <f>IFERROR(__xludf.DUMMYFUNCTION("""COMPUTED_VALUE"""),"Flye_v2.9-b1768")</f>
        <v>Flye_v2.9-b1768</v>
      </c>
      <c r="T409" s="6"/>
      <c r="U409" s="6">
        <f>IFERROR(__xludf.DUMMYFUNCTION("""COMPUTED_VALUE"""),2024.0)</f>
        <v>2024</v>
      </c>
      <c r="V409" s="6" t="str">
        <f>IFERROR(__xludf.DUMMYFUNCTION("""COMPUTED_VALUE"""),"no")</f>
        <v>no</v>
      </c>
      <c r="W409" s="6"/>
      <c r="X409" s="5"/>
      <c r="Y409" s="5" t="str">
        <f>IFERROR(__xludf.DUMMYFUNCTION("""COMPUTED_VALUE"""),"unpublished")</f>
        <v>unpublished</v>
      </c>
      <c r="Z409" s="5"/>
      <c r="AA409" s="5"/>
      <c r="AB409" s="5"/>
    </row>
    <row r="410">
      <c r="A410" s="5">
        <f>IFERROR(__xludf.DUMMYFUNCTION("""COMPUTED_VALUE"""),100408.0)</f>
        <v>100408</v>
      </c>
      <c r="B410" s="5" t="str">
        <f>IFERROR(__xludf.DUMMYFUNCTION("""COMPUTED_VALUE"""),"Nyl-7")</f>
        <v>Nyl-7</v>
      </c>
      <c r="C410" s="5">
        <f>IFERROR(__xludf.DUMMYFUNCTION("""COMPUTED_VALUE"""),6069.0)</f>
        <v>6069</v>
      </c>
      <c r="D410" s="5"/>
      <c r="E410" s="5"/>
      <c r="F410" s="5">
        <f>IFERROR(__xludf.DUMMYFUNCTION("""COMPUTED_VALUE"""),1.0)</f>
        <v>1</v>
      </c>
      <c r="G410" s="5"/>
      <c r="H410" s="5"/>
      <c r="I410" s="5"/>
      <c r="J410" s="5" t="str">
        <f>IFERROR(__xludf.DUMMYFUNCTION("""COMPUTED_VALUE"""),"CS77137")</f>
        <v>CS77137</v>
      </c>
      <c r="K410" s="5" t="str">
        <f>IFERROR(__xludf.DUMMYFUNCTION("""COMPUTED_VALUE"""),"62.9513")</f>
        <v>62.9513</v>
      </c>
      <c r="L410" s="5" t="str">
        <f>IFERROR(__xludf.DUMMYFUNCTION("""COMPUTED_VALUE"""),"18.2763")</f>
        <v>18.2763</v>
      </c>
      <c r="M410" s="5"/>
      <c r="N410" s="5">
        <f>IFERROR(__xludf.DUMMYFUNCTION("""COMPUTED_VALUE"""),16.0)</f>
        <v>16</v>
      </c>
      <c r="O410" s="5"/>
      <c r="P410" s="5"/>
      <c r="Q410" s="5" t="str">
        <f>IFERROR(__xludf.DUMMYFUNCTION("""COMPUTED_VALUE"""),"no")</f>
        <v>no</v>
      </c>
      <c r="R410" s="5" t="str">
        <f>IFERROR(__xludf.DUMMYFUNCTION("""COMPUTED_VALUE"""),"ONT")</f>
        <v>ONT</v>
      </c>
      <c r="S410" s="5" t="str">
        <f>IFERROR(__xludf.DUMMYFUNCTION("""COMPUTED_VALUE"""),"nextDenovo_v2.5.0")</f>
        <v>nextDenovo_v2.5.0</v>
      </c>
      <c r="T410" s="6"/>
      <c r="U410" s="6">
        <f>IFERROR(__xludf.DUMMYFUNCTION("""COMPUTED_VALUE"""),2024.0)</f>
        <v>2024</v>
      </c>
      <c r="V410" s="6" t="str">
        <f>IFERROR(__xludf.DUMMYFUNCTION("""COMPUTED_VALUE"""),"no")</f>
        <v>no</v>
      </c>
      <c r="W410" s="6"/>
      <c r="X410" s="5"/>
      <c r="Y410" s="5" t="str">
        <f>IFERROR(__xludf.DUMMYFUNCTION("""COMPUTED_VALUE"""),"unpublished")</f>
        <v>unpublished</v>
      </c>
      <c r="Z410" s="5"/>
      <c r="AA410" s="5"/>
      <c r="AB410" s="5"/>
    </row>
    <row r="411">
      <c r="A411" s="5">
        <f>IFERROR(__xludf.DUMMYFUNCTION("""COMPUTED_VALUE"""),100409.0)</f>
        <v>100409</v>
      </c>
      <c r="B411" s="5" t="str">
        <f>IFERROR(__xludf.DUMMYFUNCTION("""COMPUTED_VALUE"""),"OOE2-1")</f>
        <v>OOE2-1</v>
      </c>
      <c r="C411" s="5">
        <f>IFERROR(__xludf.DUMMYFUNCTION("""COMPUTED_VALUE"""),19949.0)</f>
        <v>19949</v>
      </c>
      <c r="D411" s="5"/>
      <c r="E411" s="5"/>
      <c r="F411" s="5">
        <f>IFERROR(__xludf.DUMMYFUNCTION("""COMPUTED_VALUE"""),1.0)</f>
        <v>1</v>
      </c>
      <c r="G411" s="5"/>
      <c r="H411" s="5"/>
      <c r="I411" s="5"/>
      <c r="J411" s="5" t="str">
        <f>IFERROR(__xludf.DUMMYFUNCTION("""COMPUTED_VALUE"""),"CS79036")</f>
        <v>CS79036</v>
      </c>
      <c r="K411" s="5" t="str">
        <f>IFERROR(__xludf.DUMMYFUNCTION("""COMPUTED_VALUE"""),"48.3268333")</f>
        <v>48.3268333</v>
      </c>
      <c r="L411" s="5" t="str">
        <f>IFERROR(__xludf.DUMMYFUNCTION("""COMPUTED_VALUE"""),"14.7181667")</f>
        <v>14.7181667</v>
      </c>
      <c r="M411" s="5"/>
      <c r="N411" s="5">
        <f>IFERROR(__xludf.DUMMYFUNCTION("""COMPUTED_VALUE"""),10.0)</f>
        <v>10</v>
      </c>
      <c r="O411" s="5"/>
      <c r="P411" s="5"/>
      <c r="Q411" s="5" t="str">
        <f>IFERROR(__xludf.DUMMYFUNCTION("""COMPUTED_VALUE"""),"no")</f>
        <v>no</v>
      </c>
      <c r="R411" s="5" t="str">
        <f>IFERROR(__xludf.DUMMYFUNCTION("""COMPUTED_VALUE"""),"ONT")</f>
        <v>ONT</v>
      </c>
      <c r="S411" s="5" t="str">
        <f>IFERROR(__xludf.DUMMYFUNCTION("""COMPUTED_VALUE"""),"nextDenovo_v2.5.0")</f>
        <v>nextDenovo_v2.5.0</v>
      </c>
      <c r="T411" s="6"/>
      <c r="U411" s="6">
        <f>IFERROR(__xludf.DUMMYFUNCTION("""COMPUTED_VALUE"""),2024.0)</f>
        <v>2024</v>
      </c>
      <c r="V411" s="6" t="str">
        <f>IFERROR(__xludf.DUMMYFUNCTION("""COMPUTED_VALUE"""),"no")</f>
        <v>no</v>
      </c>
      <c r="W411" s="6"/>
      <c r="X411" s="5"/>
      <c r="Y411" s="5" t="str">
        <f>IFERROR(__xludf.DUMMYFUNCTION("""COMPUTED_VALUE"""),"unpublished")</f>
        <v>unpublished</v>
      </c>
      <c r="Z411" s="5"/>
      <c r="AA411" s="5"/>
      <c r="AB411" s="5"/>
    </row>
    <row r="412">
      <c r="A412" s="5">
        <f>IFERROR(__xludf.DUMMYFUNCTION("""COMPUTED_VALUE"""),100410.0)</f>
        <v>100410</v>
      </c>
      <c r="B412" s="5" t="str">
        <f>IFERROR(__xludf.DUMMYFUNCTION("""COMPUTED_VALUE"""),"OOE23")</f>
        <v>OOE23</v>
      </c>
      <c r="C412" s="5">
        <f>IFERROR(__xludf.DUMMYFUNCTION("""COMPUTED_VALUE"""),19951.0)</f>
        <v>19951</v>
      </c>
      <c r="D412" s="5"/>
      <c r="E412" s="5"/>
      <c r="F412" s="5">
        <f>IFERROR(__xludf.DUMMYFUNCTION("""COMPUTED_VALUE"""),1.0)</f>
        <v>1</v>
      </c>
      <c r="G412" s="5"/>
      <c r="H412" s="5"/>
      <c r="I412" s="5"/>
      <c r="J412" s="5" t="str">
        <f>IFERROR(__xludf.DUMMYFUNCTION("""COMPUTED_VALUE"""),"CS79038")</f>
        <v>CS79038</v>
      </c>
      <c r="K412" s="5" t="str">
        <f>IFERROR(__xludf.DUMMYFUNCTION("""COMPUTED_VALUE"""),"48.3268333")</f>
        <v>48.3268333</v>
      </c>
      <c r="L412" s="5" t="str">
        <f>IFERROR(__xludf.DUMMYFUNCTION("""COMPUTED_VALUE"""),"14.7181667")</f>
        <v>14.7181667</v>
      </c>
      <c r="M412" s="5"/>
      <c r="N412" s="5">
        <f>IFERROR(__xludf.DUMMYFUNCTION("""COMPUTED_VALUE"""),15.0)</f>
        <v>15</v>
      </c>
      <c r="O412" s="5"/>
      <c r="P412" s="5"/>
      <c r="Q412" s="5" t="str">
        <f>IFERROR(__xludf.DUMMYFUNCTION("""COMPUTED_VALUE"""),"no")</f>
        <v>no</v>
      </c>
      <c r="R412" s="5" t="str">
        <f>IFERROR(__xludf.DUMMYFUNCTION("""COMPUTED_VALUE"""),"ONT")</f>
        <v>ONT</v>
      </c>
      <c r="S412" s="5" t="str">
        <f>IFERROR(__xludf.DUMMYFUNCTION("""COMPUTED_VALUE"""),"Flye_v2.9-b1768")</f>
        <v>Flye_v2.9-b1768</v>
      </c>
      <c r="T412" s="6"/>
      <c r="U412" s="6">
        <f>IFERROR(__xludf.DUMMYFUNCTION("""COMPUTED_VALUE"""),2024.0)</f>
        <v>2024</v>
      </c>
      <c r="V412" s="6" t="str">
        <f>IFERROR(__xludf.DUMMYFUNCTION("""COMPUTED_VALUE"""),"no")</f>
        <v>no</v>
      </c>
      <c r="W412" s="6"/>
      <c r="X412" s="5"/>
      <c r="Y412" s="5" t="str">
        <f>IFERROR(__xludf.DUMMYFUNCTION("""COMPUTED_VALUE"""),"unpublished")</f>
        <v>unpublished</v>
      </c>
      <c r="Z412" s="5"/>
      <c r="AA412" s="5"/>
      <c r="AB412" s="5"/>
    </row>
    <row r="413">
      <c r="A413" s="5">
        <f>IFERROR(__xludf.DUMMYFUNCTION("""COMPUTED_VALUE"""),100411.0)</f>
        <v>100411</v>
      </c>
      <c r="B413" s="5" t="str">
        <f>IFERROR(__xludf.DUMMYFUNCTION("""COMPUTED_VALUE"""),"OOE3-1")</f>
        <v>OOE3-1</v>
      </c>
      <c r="C413" s="5">
        <f>IFERROR(__xludf.DUMMYFUNCTION("""COMPUTED_VALUE"""),15592.0)</f>
        <v>15592</v>
      </c>
      <c r="D413" s="5"/>
      <c r="E413" s="5"/>
      <c r="F413" s="5">
        <f>IFERROR(__xludf.DUMMYFUNCTION("""COMPUTED_VALUE"""),1.0)</f>
        <v>1</v>
      </c>
      <c r="G413" s="5"/>
      <c r="H413" s="5"/>
      <c r="I413" s="5"/>
      <c r="J413" s="5" t="str">
        <f>IFERROR(__xludf.DUMMYFUNCTION("""COMPUTED_VALUE"""),"CS78940")</f>
        <v>CS78940</v>
      </c>
      <c r="K413" s="5" t="str">
        <f>IFERROR(__xludf.DUMMYFUNCTION("""COMPUTED_VALUE"""),"48.3314667")</f>
        <v>48.3314667</v>
      </c>
      <c r="L413" s="5" t="str">
        <f>IFERROR(__xludf.DUMMYFUNCTION("""COMPUTED_VALUE"""),"14.7158667")</f>
        <v>14.7158667</v>
      </c>
      <c r="M413" s="5"/>
      <c r="N413" s="5">
        <f>IFERROR(__xludf.DUMMYFUNCTION("""COMPUTED_VALUE"""),13.0)</f>
        <v>13</v>
      </c>
      <c r="O413" s="5"/>
      <c r="P413" s="5"/>
      <c r="Q413" s="5" t="str">
        <f>IFERROR(__xludf.DUMMYFUNCTION("""COMPUTED_VALUE"""),"no")</f>
        <v>no</v>
      </c>
      <c r="R413" s="5" t="str">
        <f>IFERROR(__xludf.DUMMYFUNCTION("""COMPUTED_VALUE"""),"ONT")</f>
        <v>ONT</v>
      </c>
      <c r="S413" s="5" t="str">
        <f>IFERROR(__xludf.DUMMYFUNCTION("""COMPUTED_VALUE"""),"Flye_v2.9-b1768")</f>
        <v>Flye_v2.9-b1768</v>
      </c>
      <c r="T413" s="6"/>
      <c r="U413" s="6">
        <f>IFERROR(__xludf.DUMMYFUNCTION("""COMPUTED_VALUE"""),2024.0)</f>
        <v>2024</v>
      </c>
      <c r="V413" s="6" t="str">
        <f>IFERROR(__xludf.DUMMYFUNCTION("""COMPUTED_VALUE"""),"no")</f>
        <v>no</v>
      </c>
      <c r="W413" s="6"/>
      <c r="X413" s="5"/>
      <c r="Y413" s="5" t="str">
        <f>IFERROR(__xludf.DUMMYFUNCTION("""COMPUTED_VALUE"""),"unpublished")</f>
        <v>unpublished</v>
      </c>
      <c r="Z413" s="5"/>
      <c r="AA413" s="5"/>
      <c r="AB413" s="5"/>
    </row>
    <row r="414">
      <c r="A414" s="5">
        <f>IFERROR(__xludf.DUMMYFUNCTION("""COMPUTED_VALUE"""),100412.0)</f>
        <v>100412</v>
      </c>
      <c r="B414" s="5" t="str">
        <f>IFERROR(__xludf.DUMMYFUNCTION("""COMPUTED_VALUE"""),"Qar-8a")</f>
        <v>Qar-8a</v>
      </c>
      <c r="C414" s="5">
        <f>IFERROR(__xludf.DUMMYFUNCTION("""COMPUTED_VALUE"""),9764.0)</f>
        <v>9764</v>
      </c>
      <c r="D414" s="5"/>
      <c r="E414" s="5"/>
      <c r="F414" s="5">
        <f>IFERROR(__xludf.DUMMYFUNCTION("""COMPUTED_VALUE"""),1.0)</f>
        <v>1</v>
      </c>
      <c r="G414" s="5"/>
      <c r="H414" s="5"/>
      <c r="I414" s="5"/>
      <c r="J414" s="5" t="str">
        <f>IFERROR(__xludf.DUMMYFUNCTION("""COMPUTED_VALUE"""),"CS76581")</f>
        <v>CS76581</v>
      </c>
      <c r="K414" s="5" t="str">
        <f>IFERROR(__xludf.DUMMYFUNCTION("""COMPUTED_VALUE"""),"34.1")</f>
        <v>34.1</v>
      </c>
      <c r="L414" s="5" t="str">
        <f>IFERROR(__xludf.DUMMYFUNCTION("""COMPUTED_VALUE"""),"35.84")</f>
        <v>35.84</v>
      </c>
      <c r="M414" s="5"/>
      <c r="N414" s="5">
        <f>IFERROR(__xludf.DUMMYFUNCTION("""COMPUTED_VALUE"""),15.0)</f>
        <v>15</v>
      </c>
      <c r="O414" s="5"/>
      <c r="P414" s="5"/>
      <c r="Q414" s="5" t="str">
        <f>IFERROR(__xludf.DUMMYFUNCTION("""COMPUTED_VALUE"""),"no")</f>
        <v>no</v>
      </c>
      <c r="R414" s="5" t="str">
        <f>IFERROR(__xludf.DUMMYFUNCTION("""COMPUTED_VALUE"""),"ONT")</f>
        <v>ONT</v>
      </c>
      <c r="S414" s="5" t="str">
        <f>IFERROR(__xludf.DUMMYFUNCTION("""COMPUTED_VALUE"""),"Flye_v2.9-b1768")</f>
        <v>Flye_v2.9-b1768</v>
      </c>
      <c r="T414" s="6"/>
      <c r="U414" s="6">
        <f>IFERROR(__xludf.DUMMYFUNCTION("""COMPUTED_VALUE"""),2024.0)</f>
        <v>2024</v>
      </c>
      <c r="V414" s="6" t="str">
        <f>IFERROR(__xludf.DUMMYFUNCTION("""COMPUTED_VALUE"""),"no")</f>
        <v>no</v>
      </c>
      <c r="W414" s="6"/>
      <c r="X414" s="5"/>
      <c r="Y414" s="5" t="str">
        <f>IFERROR(__xludf.DUMMYFUNCTION("""COMPUTED_VALUE"""),"unpublished")</f>
        <v>unpublished</v>
      </c>
      <c r="Z414" s="5"/>
      <c r="AA414" s="5"/>
      <c r="AB414" s="5"/>
    </row>
    <row r="415">
      <c r="A415" s="5">
        <f>IFERROR(__xludf.DUMMYFUNCTION("""COMPUTED_VALUE"""),100413.0)</f>
        <v>100413</v>
      </c>
      <c r="B415" s="5" t="str">
        <f>IFERROR(__xludf.DUMMYFUNCTION("""COMPUTED_VALUE"""),"Samm")</f>
        <v>Samm</v>
      </c>
      <c r="C415" s="5">
        <f>IFERROR(__xludf.DUMMYFUNCTION("""COMPUTED_VALUE"""),18696.0)</f>
        <v>18696</v>
      </c>
      <c r="D415" s="5"/>
      <c r="E415" s="5"/>
      <c r="F415" s="5">
        <f>IFERROR(__xludf.DUMMYFUNCTION("""COMPUTED_VALUE"""),1.0)</f>
        <v>1</v>
      </c>
      <c r="G415" s="5"/>
      <c r="H415" s="5"/>
      <c r="I415" s="5"/>
      <c r="J415" s="5" t="str">
        <f>IFERROR(__xludf.DUMMYFUNCTION("""COMPUTED_VALUE"""),"CS78929")</f>
        <v>CS78929</v>
      </c>
      <c r="K415" s="5" t="str">
        <f>IFERROR(__xludf.DUMMYFUNCTION("""COMPUTED_VALUE"""),"61.57")</f>
        <v>61.57</v>
      </c>
      <c r="L415" s="5" t="str">
        <f>IFERROR(__xludf.DUMMYFUNCTION("""COMPUTED_VALUE"""),"30.63")</f>
        <v>30.63</v>
      </c>
      <c r="M415" s="5"/>
      <c r="N415" s="5">
        <f>IFERROR(__xludf.DUMMYFUNCTION("""COMPUTED_VALUE"""),15.0)</f>
        <v>15</v>
      </c>
      <c r="O415" s="5"/>
      <c r="P415" s="5"/>
      <c r="Q415" s="5" t="str">
        <f>IFERROR(__xludf.DUMMYFUNCTION("""COMPUTED_VALUE"""),"no")</f>
        <v>no</v>
      </c>
      <c r="R415" s="5" t="str">
        <f>IFERROR(__xludf.DUMMYFUNCTION("""COMPUTED_VALUE"""),"ONT")</f>
        <v>ONT</v>
      </c>
      <c r="S415" s="5" t="str">
        <f>IFERROR(__xludf.DUMMYFUNCTION("""COMPUTED_VALUE"""),"Flye_v2.9-b1768")</f>
        <v>Flye_v2.9-b1768</v>
      </c>
      <c r="T415" s="6"/>
      <c r="U415" s="6">
        <f>IFERROR(__xludf.DUMMYFUNCTION("""COMPUTED_VALUE"""),2024.0)</f>
        <v>2024</v>
      </c>
      <c r="V415" s="6" t="str">
        <f>IFERROR(__xludf.DUMMYFUNCTION("""COMPUTED_VALUE"""),"no")</f>
        <v>no</v>
      </c>
      <c r="W415" s="6"/>
      <c r="X415" s="5"/>
      <c r="Y415" s="5" t="str">
        <f>IFERROR(__xludf.DUMMYFUNCTION("""COMPUTED_VALUE"""),"unpublished")</f>
        <v>unpublished</v>
      </c>
      <c r="Z415" s="5"/>
      <c r="AA415" s="5"/>
      <c r="AB415" s="5"/>
    </row>
    <row r="416">
      <c r="A416" s="5">
        <f>IFERROR(__xludf.DUMMYFUNCTION("""COMPUTED_VALUE"""),100414.0)</f>
        <v>100414</v>
      </c>
      <c r="B416" s="5" t="str">
        <f>IFERROR(__xludf.DUMMYFUNCTION("""COMPUTED_VALUE"""),"Sf-2")</f>
        <v>Sf-2</v>
      </c>
      <c r="C416" s="5">
        <f>IFERROR(__xludf.DUMMYFUNCTION("""COMPUTED_VALUE"""),7328.0)</f>
        <v>7328</v>
      </c>
      <c r="D416" s="5"/>
      <c r="E416" s="5"/>
      <c r="F416" s="5">
        <f>IFERROR(__xludf.DUMMYFUNCTION("""COMPUTED_VALUE"""),1.0)</f>
        <v>1</v>
      </c>
      <c r="G416" s="5"/>
      <c r="H416" s="5"/>
      <c r="I416" s="5"/>
      <c r="J416" s="5" t="str">
        <f>IFERROR(__xludf.DUMMYFUNCTION("""COMPUTED_VALUE"""),"CS77247")</f>
        <v>CS77247</v>
      </c>
      <c r="K416" s="5" t="str">
        <f>IFERROR(__xludf.DUMMYFUNCTION("""COMPUTED_VALUE"""),"41.7833")</f>
        <v>41.7833</v>
      </c>
      <c r="L416" s="5" t="str">
        <f>IFERROR(__xludf.DUMMYFUNCTION("""COMPUTED_VALUE"""),"3.03333")</f>
        <v>3.03333</v>
      </c>
      <c r="M416" s="5"/>
      <c r="N416" s="5">
        <f>IFERROR(__xludf.DUMMYFUNCTION("""COMPUTED_VALUE"""),16.0)</f>
        <v>16</v>
      </c>
      <c r="O416" s="5"/>
      <c r="P416" s="5"/>
      <c r="Q416" s="5" t="str">
        <f>IFERROR(__xludf.DUMMYFUNCTION("""COMPUTED_VALUE"""),"no")</f>
        <v>no</v>
      </c>
      <c r="R416" s="5" t="str">
        <f>IFERROR(__xludf.DUMMYFUNCTION("""COMPUTED_VALUE"""),"ONT")</f>
        <v>ONT</v>
      </c>
      <c r="S416" s="5" t="str">
        <f>IFERROR(__xludf.DUMMYFUNCTION("""COMPUTED_VALUE"""),"nextDenovo_v2.5.0")</f>
        <v>nextDenovo_v2.5.0</v>
      </c>
      <c r="T416" s="6"/>
      <c r="U416" s="6">
        <f>IFERROR(__xludf.DUMMYFUNCTION("""COMPUTED_VALUE"""),2024.0)</f>
        <v>2024</v>
      </c>
      <c r="V416" s="6" t="str">
        <f>IFERROR(__xludf.DUMMYFUNCTION("""COMPUTED_VALUE"""),"no")</f>
        <v>no</v>
      </c>
      <c r="W416" s="6"/>
      <c r="X416" s="5"/>
      <c r="Y416" s="5" t="str">
        <f>IFERROR(__xludf.DUMMYFUNCTION("""COMPUTED_VALUE"""),"unpublished")</f>
        <v>unpublished</v>
      </c>
      <c r="Z416" s="5"/>
      <c r="AA416" s="5"/>
      <c r="AB416" s="5"/>
    </row>
    <row r="417">
      <c r="A417" s="5">
        <f>IFERROR(__xludf.DUMMYFUNCTION("""COMPUTED_VALUE"""),100415.0)</f>
        <v>100415</v>
      </c>
      <c r="B417" s="5" t="str">
        <f>IFERROR(__xludf.DUMMYFUNCTION("""COMPUTED_VALUE"""),"Sr:3")</f>
        <v>Sr:3</v>
      </c>
      <c r="C417" s="5">
        <f>IFERROR(__xludf.DUMMYFUNCTION("""COMPUTED_VALUE"""),6086.0)</f>
        <v>6086</v>
      </c>
      <c r="D417" s="5"/>
      <c r="E417" s="5"/>
      <c r="F417" s="5">
        <f>IFERROR(__xludf.DUMMYFUNCTION("""COMPUTED_VALUE"""),1.0)</f>
        <v>1</v>
      </c>
      <c r="G417" s="5"/>
      <c r="H417" s="5"/>
      <c r="I417" s="5"/>
      <c r="J417" s="5" t="str">
        <f>IFERROR(__xludf.DUMMYFUNCTION("""COMPUTED_VALUE"""),"CS77267")</f>
        <v>CS77267</v>
      </c>
      <c r="K417" s="5" t="str">
        <f>IFERROR(__xludf.DUMMYFUNCTION("""COMPUTED_VALUE"""),"58.9")</f>
        <v>58.9</v>
      </c>
      <c r="L417" s="12">
        <f>IFERROR(__xludf.DUMMYFUNCTION("""COMPUTED_VALUE"""),45333.0)</f>
        <v>45333</v>
      </c>
      <c r="M417" s="5"/>
      <c r="N417" s="5">
        <f>IFERROR(__xludf.DUMMYFUNCTION("""COMPUTED_VALUE"""),10.0)</f>
        <v>10</v>
      </c>
      <c r="O417" s="5"/>
      <c r="P417" s="5"/>
      <c r="Q417" s="5" t="str">
        <f>IFERROR(__xludf.DUMMYFUNCTION("""COMPUTED_VALUE"""),"no")</f>
        <v>no</v>
      </c>
      <c r="R417" s="5" t="str">
        <f>IFERROR(__xludf.DUMMYFUNCTION("""COMPUTED_VALUE"""),"ONT")</f>
        <v>ONT</v>
      </c>
      <c r="S417" s="5" t="str">
        <f>IFERROR(__xludf.DUMMYFUNCTION("""COMPUTED_VALUE"""),"Flye_v2.9-b1768")</f>
        <v>Flye_v2.9-b1768</v>
      </c>
      <c r="T417" s="6"/>
      <c r="U417" s="6">
        <f>IFERROR(__xludf.DUMMYFUNCTION("""COMPUTED_VALUE"""),2024.0)</f>
        <v>2024</v>
      </c>
      <c r="V417" s="6" t="str">
        <f>IFERROR(__xludf.DUMMYFUNCTION("""COMPUTED_VALUE"""),"no")</f>
        <v>no</v>
      </c>
      <c r="W417" s="6"/>
      <c r="X417" s="5"/>
      <c r="Y417" s="5" t="str">
        <f>IFERROR(__xludf.DUMMYFUNCTION("""COMPUTED_VALUE"""),"unpublished")</f>
        <v>unpublished</v>
      </c>
      <c r="Z417" s="5"/>
      <c r="AA417" s="5"/>
      <c r="AB417" s="5"/>
    </row>
    <row r="418">
      <c r="A418" s="5">
        <f>IFERROR(__xludf.DUMMYFUNCTION("""COMPUTED_VALUE"""),100416.0)</f>
        <v>100416</v>
      </c>
      <c r="B418" s="5" t="str">
        <f>IFERROR(__xludf.DUMMYFUNCTION("""COMPUTED_VALUE"""),"T1160")</f>
        <v>T1160</v>
      </c>
      <c r="C418" s="5">
        <f>IFERROR(__xludf.DUMMYFUNCTION("""COMPUTED_VALUE"""),6104.0)</f>
        <v>6104</v>
      </c>
      <c r="D418" s="5"/>
      <c r="E418" s="5"/>
      <c r="F418" s="5">
        <f>IFERROR(__xludf.DUMMYFUNCTION("""COMPUTED_VALUE"""),1.0)</f>
        <v>1</v>
      </c>
      <c r="G418" s="5"/>
      <c r="H418" s="5"/>
      <c r="I418" s="5"/>
      <c r="J418" s="5" t="str">
        <f>IFERROR(__xludf.DUMMYFUNCTION("""COMPUTED_VALUE"""),"CS77296")</f>
        <v>CS77296</v>
      </c>
      <c r="K418" s="5" t="str">
        <f>IFERROR(__xludf.DUMMYFUNCTION("""COMPUTED_VALUE"""),"55.7")</f>
        <v>55.7</v>
      </c>
      <c r="L418" s="12">
        <f>IFERROR(__xludf.DUMMYFUNCTION("""COMPUTED_VALUE"""),45335.0)</f>
        <v>45335</v>
      </c>
      <c r="M418" s="5"/>
      <c r="N418" s="5">
        <f>IFERROR(__xludf.DUMMYFUNCTION("""COMPUTED_VALUE"""),17.0)</f>
        <v>17</v>
      </c>
      <c r="O418" s="5"/>
      <c r="P418" s="5"/>
      <c r="Q418" s="5" t="str">
        <f>IFERROR(__xludf.DUMMYFUNCTION("""COMPUTED_VALUE"""),"no")</f>
        <v>no</v>
      </c>
      <c r="R418" s="5" t="str">
        <f>IFERROR(__xludf.DUMMYFUNCTION("""COMPUTED_VALUE"""),"ONT")</f>
        <v>ONT</v>
      </c>
      <c r="S418" s="5" t="str">
        <f>IFERROR(__xludf.DUMMYFUNCTION("""COMPUTED_VALUE"""),"Flye_v2.9-b1768")</f>
        <v>Flye_v2.9-b1768</v>
      </c>
      <c r="T418" s="6"/>
      <c r="U418" s="6">
        <f>IFERROR(__xludf.DUMMYFUNCTION("""COMPUTED_VALUE"""),2024.0)</f>
        <v>2024</v>
      </c>
      <c r="V418" s="6" t="str">
        <f>IFERROR(__xludf.DUMMYFUNCTION("""COMPUTED_VALUE"""),"no")</f>
        <v>no</v>
      </c>
      <c r="W418" s="6"/>
      <c r="X418" s="5"/>
      <c r="Y418" s="5" t="str">
        <f>IFERROR(__xludf.DUMMYFUNCTION("""COMPUTED_VALUE"""),"unpublished")</f>
        <v>unpublished</v>
      </c>
      <c r="Z418" s="5"/>
      <c r="AA418" s="5"/>
      <c r="AB418" s="5"/>
    </row>
    <row r="419">
      <c r="A419" s="5">
        <f>IFERROR(__xludf.DUMMYFUNCTION("""COMPUTED_VALUE"""),100417.0)</f>
        <v>100417</v>
      </c>
      <c r="B419" s="5" t="str">
        <f>IFERROR(__xludf.DUMMYFUNCTION("""COMPUTED_VALUE"""),"T610")</f>
        <v>T610</v>
      </c>
      <c r="C419" s="5">
        <f>IFERROR(__xludf.DUMMYFUNCTION("""COMPUTED_VALUE"""),6118.0)</f>
        <v>6118</v>
      </c>
      <c r="D419" s="5"/>
      <c r="E419" s="5"/>
      <c r="F419" s="5">
        <f>IFERROR(__xludf.DUMMYFUNCTION("""COMPUTED_VALUE"""),1.0)</f>
        <v>1</v>
      </c>
      <c r="G419" s="5"/>
      <c r="H419" s="5"/>
      <c r="I419" s="5"/>
      <c r="J419" s="5" t="str">
        <f>IFERROR(__xludf.DUMMYFUNCTION("""COMPUTED_VALUE"""),"CS77307")</f>
        <v>CS77307</v>
      </c>
      <c r="K419" s="5" t="str">
        <f>IFERROR(__xludf.DUMMYFUNCTION("""COMPUTED_VALUE"""),"55.7")</f>
        <v>55.7</v>
      </c>
      <c r="L419" s="12">
        <f>IFERROR(__xludf.DUMMYFUNCTION("""COMPUTED_VALUE"""),45335.0)</f>
        <v>45335</v>
      </c>
      <c r="M419" s="5"/>
      <c r="N419" s="5">
        <f>IFERROR(__xludf.DUMMYFUNCTION("""COMPUTED_VALUE"""),13.0)</f>
        <v>13</v>
      </c>
      <c r="O419" s="5"/>
      <c r="P419" s="5"/>
      <c r="Q419" s="5" t="str">
        <f>IFERROR(__xludf.DUMMYFUNCTION("""COMPUTED_VALUE"""),"no")</f>
        <v>no</v>
      </c>
      <c r="R419" s="5" t="str">
        <f>IFERROR(__xludf.DUMMYFUNCTION("""COMPUTED_VALUE"""),"ONT")</f>
        <v>ONT</v>
      </c>
      <c r="S419" s="5" t="str">
        <f>IFERROR(__xludf.DUMMYFUNCTION("""COMPUTED_VALUE"""),"nextDenovo_v2.5.0")</f>
        <v>nextDenovo_v2.5.0</v>
      </c>
      <c r="T419" s="6"/>
      <c r="U419" s="6">
        <f>IFERROR(__xludf.DUMMYFUNCTION("""COMPUTED_VALUE"""),2024.0)</f>
        <v>2024</v>
      </c>
      <c r="V419" s="6" t="str">
        <f>IFERROR(__xludf.DUMMYFUNCTION("""COMPUTED_VALUE"""),"no")</f>
        <v>no</v>
      </c>
      <c r="W419" s="6"/>
      <c r="X419" s="5"/>
      <c r="Y419" s="5" t="str">
        <f>IFERROR(__xludf.DUMMYFUNCTION("""COMPUTED_VALUE"""),"unpublished")</f>
        <v>unpublished</v>
      </c>
      <c r="Z419" s="5"/>
      <c r="AA419" s="5"/>
      <c r="AB419" s="5"/>
    </row>
    <row r="420">
      <c r="A420" s="5">
        <f>IFERROR(__xludf.DUMMYFUNCTION("""COMPUTED_VALUE"""),100418.0)</f>
        <v>100418</v>
      </c>
      <c r="B420" s="5" t="str">
        <f>IFERROR(__xludf.DUMMYFUNCTION("""COMPUTED_VALUE"""),"T890")</f>
        <v>T890</v>
      </c>
      <c r="C420" s="5">
        <f>IFERROR(__xludf.DUMMYFUNCTION("""COMPUTED_VALUE"""),6141.0)</f>
        <v>6141</v>
      </c>
      <c r="D420" s="5"/>
      <c r="E420" s="5"/>
      <c r="F420" s="5">
        <f>IFERROR(__xludf.DUMMYFUNCTION("""COMPUTED_VALUE"""),1.0)</f>
        <v>1</v>
      </c>
      <c r="G420" s="5"/>
      <c r="H420" s="5"/>
      <c r="I420" s="5"/>
      <c r="J420" s="5" t="str">
        <f>IFERROR(__xludf.DUMMYFUNCTION("""COMPUTED_VALUE"""),"CS78079")</f>
        <v>CS78079</v>
      </c>
      <c r="K420" s="5" t="str">
        <f>IFERROR(__xludf.DUMMYFUNCTION("""COMPUTED_VALUE"""),"55.9414")</f>
        <v>55.9414</v>
      </c>
      <c r="L420" s="5" t="str">
        <f>IFERROR(__xludf.DUMMYFUNCTION("""COMPUTED_VALUE"""),"13.5542")</f>
        <v>13.5542</v>
      </c>
      <c r="M420" s="5"/>
      <c r="N420" s="5">
        <f>IFERROR(__xludf.DUMMYFUNCTION("""COMPUTED_VALUE"""),30.0)</f>
        <v>30</v>
      </c>
      <c r="O420" s="5"/>
      <c r="P420" s="5"/>
      <c r="Q420" s="5" t="str">
        <f>IFERROR(__xludf.DUMMYFUNCTION("""COMPUTED_VALUE"""),"no")</f>
        <v>no</v>
      </c>
      <c r="R420" s="5" t="str">
        <f>IFERROR(__xludf.DUMMYFUNCTION("""COMPUTED_VALUE"""),"ONT")</f>
        <v>ONT</v>
      </c>
      <c r="S420" s="5" t="str">
        <f>IFERROR(__xludf.DUMMYFUNCTION("""COMPUTED_VALUE"""),"nextDenovo_v2.5.0")</f>
        <v>nextDenovo_v2.5.0</v>
      </c>
      <c r="T420" s="6"/>
      <c r="U420" s="6">
        <f>IFERROR(__xludf.DUMMYFUNCTION("""COMPUTED_VALUE"""),2024.0)</f>
        <v>2024</v>
      </c>
      <c r="V420" s="6" t="str">
        <f>IFERROR(__xludf.DUMMYFUNCTION("""COMPUTED_VALUE"""),"no")</f>
        <v>no</v>
      </c>
      <c r="W420" s="6"/>
      <c r="X420" s="5"/>
      <c r="Y420" s="5" t="str">
        <f>IFERROR(__xludf.DUMMYFUNCTION("""COMPUTED_VALUE"""),"unpublished")</f>
        <v>unpublished</v>
      </c>
      <c r="Z420" s="5"/>
      <c r="AA420" s="5"/>
      <c r="AB420" s="5"/>
    </row>
    <row r="421">
      <c r="A421" s="5">
        <f>IFERROR(__xludf.DUMMYFUNCTION("""COMPUTED_VALUE"""),100419.0)</f>
        <v>100419</v>
      </c>
      <c r="B421" s="5" t="str">
        <f>IFERROR(__xludf.DUMMYFUNCTION("""COMPUTED_VALUE"""),"Ta-0")</f>
        <v>Ta-0</v>
      </c>
      <c r="C421" s="5">
        <f>IFERROR(__xludf.DUMMYFUNCTION("""COMPUTED_VALUE"""),7349.0)</f>
        <v>7349</v>
      </c>
      <c r="D421" s="5"/>
      <c r="E421" s="5"/>
      <c r="F421" s="5">
        <f>IFERROR(__xludf.DUMMYFUNCTION("""COMPUTED_VALUE"""),1.0)</f>
        <v>1</v>
      </c>
      <c r="G421" s="5"/>
      <c r="H421" s="5"/>
      <c r="I421" s="5"/>
      <c r="J421" s="5" t="str">
        <f>IFERROR(__xludf.DUMMYFUNCTION("""COMPUTED_VALUE"""),"CS76608")</f>
        <v>CS76608</v>
      </c>
      <c r="K421" s="5" t="str">
        <f>IFERROR(__xludf.DUMMYFUNCTION("""COMPUTED_VALUE"""),"49.5")</f>
        <v>49.5</v>
      </c>
      <c r="L421" s="12">
        <f>IFERROR(__xludf.DUMMYFUNCTION("""COMPUTED_VALUE"""),45426.0)</f>
        <v>45426</v>
      </c>
      <c r="M421" s="5"/>
      <c r="N421" s="5">
        <f>IFERROR(__xludf.DUMMYFUNCTION("""COMPUTED_VALUE"""),25.0)</f>
        <v>25</v>
      </c>
      <c r="O421" s="5"/>
      <c r="P421" s="5"/>
      <c r="Q421" s="5" t="str">
        <f>IFERROR(__xludf.DUMMYFUNCTION("""COMPUTED_VALUE"""),"no")</f>
        <v>no</v>
      </c>
      <c r="R421" s="5" t="str">
        <f>IFERROR(__xludf.DUMMYFUNCTION("""COMPUTED_VALUE"""),"ONT")</f>
        <v>ONT</v>
      </c>
      <c r="S421" s="5" t="str">
        <f>IFERROR(__xludf.DUMMYFUNCTION("""COMPUTED_VALUE"""),"Flye_v2.9-b1768")</f>
        <v>Flye_v2.9-b1768</v>
      </c>
      <c r="T421" s="6"/>
      <c r="U421" s="6">
        <f>IFERROR(__xludf.DUMMYFUNCTION("""COMPUTED_VALUE"""),2024.0)</f>
        <v>2024</v>
      </c>
      <c r="V421" s="6" t="str">
        <f>IFERROR(__xludf.DUMMYFUNCTION("""COMPUTED_VALUE"""),"no")</f>
        <v>no</v>
      </c>
      <c r="W421" s="6"/>
      <c r="X421" s="5"/>
      <c r="Y421" s="5" t="str">
        <f>IFERROR(__xludf.DUMMYFUNCTION("""COMPUTED_VALUE"""),"unpublished")</f>
        <v>unpublished</v>
      </c>
      <c r="Z421" s="5"/>
      <c r="AA421" s="5"/>
      <c r="AB421" s="5"/>
    </row>
    <row r="422">
      <c r="A422" s="5">
        <f>IFERROR(__xludf.DUMMYFUNCTION("""COMPUTED_VALUE"""),100420.0)</f>
        <v>100420</v>
      </c>
      <c r="B422" s="5" t="str">
        <f>IFERROR(__xludf.DUMMYFUNCTION("""COMPUTED_VALUE"""),"TOM-01")</f>
        <v>TOM-01</v>
      </c>
      <c r="C422" s="5">
        <f>IFERROR(__xludf.DUMMYFUNCTION("""COMPUTED_VALUE"""),6235.0)</f>
        <v>6235</v>
      </c>
      <c r="D422" s="5"/>
      <c r="E422" s="5"/>
      <c r="F422" s="5">
        <f>IFERROR(__xludf.DUMMYFUNCTION("""COMPUTED_VALUE"""),1.0)</f>
        <v>1</v>
      </c>
      <c r="G422" s="5"/>
      <c r="H422" s="5"/>
      <c r="I422" s="5"/>
      <c r="J422" s="5" t="str">
        <f>IFERROR(__xludf.DUMMYFUNCTION("""COMPUTED_VALUE"""),"CS77372")</f>
        <v>CS77372</v>
      </c>
      <c r="K422" s="5" t="str">
        <f>IFERROR(__xludf.DUMMYFUNCTION("""COMPUTED_VALUE"""),"62.9611")</f>
        <v>62.9611</v>
      </c>
      <c r="L422" s="5" t="str">
        <f>IFERROR(__xludf.DUMMYFUNCTION("""COMPUTED_VALUE"""),"18.3589")</f>
        <v>18.3589</v>
      </c>
      <c r="M422" s="5"/>
      <c r="N422" s="5">
        <f>IFERROR(__xludf.DUMMYFUNCTION("""COMPUTED_VALUE"""),18.0)</f>
        <v>18</v>
      </c>
      <c r="O422" s="5"/>
      <c r="P422" s="5"/>
      <c r="Q422" s="5" t="str">
        <f>IFERROR(__xludf.DUMMYFUNCTION("""COMPUTED_VALUE"""),"no")</f>
        <v>no</v>
      </c>
      <c r="R422" s="5" t="str">
        <f>IFERROR(__xludf.DUMMYFUNCTION("""COMPUTED_VALUE"""),"ONT")</f>
        <v>ONT</v>
      </c>
      <c r="S422" s="5" t="str">
        <f>IFERROR(__xludf.DUMMYFUNCTION("""COMPUTED_VALUE"""),"Flye_v2.9-b1768")</f>
        <v>Flye_v2.9-b1768</v>
      </c>
      <c r="T422" s="6"/>
      <c r="U422" s="6">
        <f>IFERROR(__xludf.DUMMYFUNCTION("""COMPUTED_VALUE"""),2024.0)</f>
        <v>2024</v>
      </c>
      <c r="V422" s="6" t="str">
        <f>IFERROR(__xludf.DUMMYFUNCTION("""COMPUTED_VALUE"""),"no")</f>
        <v>no</v>
      </c>
      <c r="W422" s="6"/>
      <c r="X422" s="5"/>
      <c r="Y422" s="5" t="str">
        <f>IFERROR(__xludf.DUMMYFUNCTION("""COMPUTED_VALUE"""),"unpublished")</f>
        <v>unpublished</v>
      </c>
      <c r="Z422" s="5"/>
      <c r="AA422" s="5"/>
      <c r="AB422" s="5"/>
    </row>
    <row r="423">
      <c r="A423" s="5">
        <f>IFERROR(__xludf.DUMMYFUNCTION("""COMPUTED_VALUE"""),100421.0)</f>
        <v>100421</v>
      </c>
      <c r="B423" s="5" t="str">
        <f>IFERROR(__xludf.DUMMYFUNCTION("""COMPUTED_VALUE"""),"Tsu-0")</f>
        <v>Tsu-0</v>
      </c>
      <c r="C423" s="5">
        <f>IFERROR(__xludf.DUMMYFUNCTION("""COMPUTED_VALUE"""),7373.0)</f>
        <v>7373</v>
      </c>
      <c r="D423" s="5"/>
      <c r="E423" s="5"/>
      <c r="F423" s="5">
        <f>IFERROR(__xludf.DUMMYFUNCTION("""COMPUTED_VALUE"""),1.0)</f>
        <v>1</v>
      </c>
      <c r="G423" s="5"/>
      <c r="H423" s="5"/>
      <c r="I423" s="5"/>
      <c r="J423" s="5" t="str">
        <f>IFERROR(__xludf.DUMMYFUNCTION("""COMPUTED_VALUE"""),"CS77389")</f>
        <v>CS77389</v>
      </c>
      <c r="K423" s="5" t="str">
        <f>IFERROR(__xludf.DUMMYFUNCTION("""COMPUTED_VALUE"""),"34.43")</f>
        <v>34.43</v>
      </c>
      <c r="L423" s="5" t="str">
        <f>IFERROR(__xludf.DUMMYFUNCTION("""COMPUTED_VALUE"""),"136.31")</f>
        <v>136.31</v>
      </c>
      <c r="M423" s="5"/>
      <c r="N423" s="5">
        <f>IFERROR(__xludf.DUMMYFUNCTION("""COMPUTED_VALUE"""),14.0)</f>
        <v>14</v>
      </c>
      <c r="O423" s="5"/>
      <c r="P423" s="5"/>
      <c r="Q423" s="5" t="str">
        <f>IFERROR(__xludf.DUMMYFUNCTION("""COMPUTED_VALUE"""),"no")</f>
        <v>no</v>
      </c>
      <c r="R423" s="5" t="str">
        <f>IFERROR(__xludf.DUMMYFUNCTION("""COMPUTED_VALUE"""),"ONT")</f>
        <v>ONT</v>
      </c>
      <c r="S423" s="5" t="str">
        <f>IFERROR(__xludf.DUMMYFUNCTION("""COMPUTED_VALUE"""),"Flye_v2.9-b1768")</f>
        <v>Flye_v2.9-b1768</v>
      </c>
      <c r="T423" s="6"/>
      <c r="U423" s="6">
        <f>IFERROR(__xludf.DUMMYFUNCTION("""COMPUTED_VALUE"""),2024.0)</f>
        <v>2024</v>
      </c>
      <c r="V423" s="6" t="str">
        <f>IFERROR(__xludf.DUMMYFUNCTION("""COMPUTED_VALUE"""),"no")</f>
        <v>no</v>
      </c>
      <c r="W423" s="6"/>
      <c r="X423" s="5"/>
      <c r="Y423" s="5" t="str">
        <f>IFERROR(__xludf.DUMMYFUNCTION("""COMPUTED_VALUE"""),"unpublished")</f>
        <v>unpublished</v>
      </c>
      <c r="Z423" s="5"/>
      <c r="AA423" s="5"/>
      <c r="AB423" s="5"/>
    </row>
    <row r="424">
      <c r="A424" s="5">
        <f>IFERROR(__xludf.DUMMYFUNCTION("""COMPUTED_VALUE"""),100422.0)</f>
        <v>100422</v>
      </c>
      <c r="B424" s="5" t="str">
        <f>IFERROR(__xludf.DUMMYFUNCTION("""COMPUTED_VALUE"""),"TV-30")</f>
        <v>TV-30</v>
      </c>
      <c r="C424" s="5">
        <f>IFERROR(__xludf.DUMMYFUNCTION("""COMPUTED_VALUE"""),6276.0)</f>
        <v>6276</v>
      </c>
      <c r="D424" s="5"/>
      <c r="E424" s="5"/>
      <c r="F424" s="5">
        <f>IFERROR(__xludf.DUMMYFUNCTION("""COMPUTED_VALUE"""),1.0)</f>
        <v>1</v>
      </c>
      <c r="G424" s="5"/>
      <c r="H424" s="5"/>
      <c r="I424" s="5"/>
      <c r="J424" s="5" t="str">
        <f>IFERROR(__xludf.DUMMYFUNCTION("""COMPUTED_VALUE"""),"CS78769")</f>
        <v>CS78769</v>
      </c>
      <c r="K424" s="5" t="str">
        <f>IFERROR(__xludf.DUMMYFUNCTION("""COMPUTED_VALUE"""),"55.5796")</f>
        <v>55.5796</v>
      </c>
      <c r="L424" s="5" t="str">
        <f>IFERROR(__xludf.DUMMYFUNCTION("""COMPUTED_VALUE"""),"14.3336")</f>
        <v>14.3336</v>
      </c>
      <c r="M424" s="5"/>
      <c r="N424" s="5">
        <f>IFERROR(__xludf.DUMMYFUNCTION("""COMPUTED_VALUE"""),9.0)</f>
        <v>9</v>
      </c>
      <c r="O424" s="5"/>
      <c r="P424" s="5"/>
      <c r="Q424" s="5" t="str">
        <f>IFERROR(__xludf.DUMMYFUNCTION("""COMPUTED_VALUE"""),"no")</f>
        <v>no</v>
      </c>
      <c r="R424" s="5" t="str">
        <f>IFERROR(__xludf.DUMMYFUNCTION("""COMPUTED_VALUE"""),"ONT")</f>
        <v>ONT</v>
      </c>
      <c r="S424" s="5" t="str">
        <f>IFERROR(__xludf.DUMMYFUNCTION("""COMPUTED_VALUE"""),"nextDenovo_v2.5.0")</f>
        <v>nextDenovo_v2.5.0</v>
      </c>
      <c r="T424" s="6"/>
      <c r="U424" s="6">
        <f>IFERROR(__xludf.DUMMYFUNCTION("""COMPUTED_VALUE"""),2024.0)</f>
        <v>2024</v>
      </c>
      <c r="V424" s="6" t="str">
        <f>IFERROR(__xludf.DUMMYFUNCTION("""COMPUTED_VALUE"""),"no")</f>
        <v>no</v>
      </c>
      <c r="W424" s="6"/>
      <c r="X424" s="5"/>
      <c r="Y424" s="5" t="str">
        <f>IFERROR(__xludf.DUMMYFUNCTION("""COMPUTED_VALUE"""),"unpublished")</f>
        <v>unpublished</v>
      </c>
      <c r="Z424" s="5"/>
      <c r="AA424" s="5"/>
      <c r="AB424" s="5"/>
    </row>
    <row r="425">
      <c r="A425" s="5">
        <f>IFERROR(__xludf.DUMMYFUNCTION("""COMPUTED_VALUE"""),100423.0)</f>
        <v>100423</v>
      </c>
      <c r="B425" s="5" t="str">
        <f>IFERROR(__xludf.DUMMYFUNCTION("""COMPUTED_VALUE"""),"UKID93")</f>
        <v>UKID93</v>
      </c>
      <c r="C425" s="5">
        <f>IFERROR(__xludf.DUMMYFUNCTION("""COMPUTED_VALUE"""),5798.0)</f>
        <v>5798</v>
      </c>
      <c r="D425" s="5"/>
      <c r="E425" s="5"/>
      <c r="F425" s="5">
        <f>IFERROR(__xludf.DUMMYFUNCTION("""COMPUTED_VALUE"""),1.0)</f>
        <v>1</v>
      </c>
      <c r="G425" s="5"/>
      <c r="H425" s="5"/>
      <c r="I425" s="5"/>
      <c r="J425" s="5" t="str">
        <f>IFERROR(__xludf.DUMMYFUNCTION("""COMPUTED_VALUE"""),"CS79010")</f>
        <v>CS79010</v>
      </c>
      <c r="K425" s="5" t="str">
        <f>IFERROR(__xludf.DUMMYFUNCTION("""COMPUTED_VALUE"""),"53.1")</f>
        <v>53.1</v>
      </c>
      <c r="L425" s="5" t="str">
        <f>IFERROR(__xludf.DUMMYFUNCTION("""COMPUTED_VALUE"""),"-3.3")</f>
        <v>-3.3</v>
      </c>
      <c r="M425" s="5"/>
      <c r="N425" s="5">
        <f>IFERROR(__xludf.DUMMYFUNCTION("""COMPUTED_VALUE"""),11.0)</f>
        <v>11</v>
      </c>
      <c r="O425" s="5"/>
      <c r="P425" s="5"/>
      <c r="Q425" s="5" t="str">
        <f>IFERROR(__xludf.DUMMYFUNCTION("""COMPUTED_VALUE"""),"no")</f>
        <v>no</v>
      </c>
      <c r="R425" s="5" t="str">
        <f>IFERROR(__xludf.DUMMYFUNCTION("""COMPUTED_VALUE"""),"ONT")</f>
        <v>ONT</v>
      </c>
      <c r="S425" s="5" t="str">
        <f>IFERROR(__xludf.DUMMYFUNCTION("""COMPUTED_VALUE"""),"nextDenovo_v2.5.0")</f>
        <v>nextDenovo_v2.5.0</v>
      </c>
      <c r="T425" s="6"/>
      <c r="U425" s="6">
        <f>IFERROR(__xludf.DUMMYFUNCTION("""COMPUTED_VALUE"""),2024.0)</f>
        <v>2024</v>
      </c>
      <c r="V425" s="6" t="str">
        <f>IFERROR(__xludf.DUMMYFUNCTION("""COMPUTED_VALUE"""),"no")</f>
        <v>no</v>
      </c>
      <c r="W425" s="6"/>
      <c r="X425" s="5"/>
      <c r="Y425" s="5" t="str">
        <f>IFERROR(__xludf.DUMMYFUNCTION("""COMPUTED_VALUE"""),"unpublished")</f>
        <v>unpublished</v>
      </c>
      <c r="Z425" s="5"/>
      <c r="AA425" s="5"/>
      <c r="AB425" s="5"/>
    </row>
    <row r="426">
      <c r="A426" s="5">
        <f>IFERROR(__xludf.DUMMYFUNCTION("""COMPUTED_VALUE"""),100424.0)</f>
        <v>100424</v>
      </c>
      <c r="B426" s="5" t="str">
        <f>IFERROR(__xludf.DUMMYFUNCTION("""COMPUTED_VALUE"""),"UKSW06-257")</f>
        <v>UKSW06-257</v>
      </c>
      <c r="C426" s="5">
        <f>IFERROR(__xludf.DUMMYFUNCTION("""COMPUTED_VALUE"""),4857.0)</f>
        <v>4857</v>
      </c>
      <c r="D426" s="5"/>
      <c r="E426" s="5"/>
      <c r="F426" s="5">
        <f>IFERROR(__xludf.DUMMYFUNCTION("""COMPUTED_VALUE"""),1.0)</f>
        <v>1</v>
      </c>
      <c r="G426" s="5"/>
      <c r="H426" s="5"/>
      <c r="I426" s="5"/>
      <c r="J426" s="5" t="str">
        <f>IFERROR(__xludf.DUMMYFUNCTION("""COMPUTED_VALUE"""),"CS79001")</f>
        <v>CS79001</v>
      </c>
      <c r="K426" s="5" t="str">
        <f>IFERROR(__xludf.DUMMYFUNCTION("""COMPUTED_VALUE"""),"50.3")</f>
        <v>50.3</v>
      </c>
      <c r="L426" s="5" t="str">
        <f>IFERROR(__xludf.DUMMYFUNCTION("""COMPUTED_VALUE"""),"-4.9")</f>
        <v>-4.9</v>
      </c>
      <c r="M426" s="5"/>
      <c r="N426" s="5">
        <f>IFERROR(__xludf.DUMMYFUNCTION("""COMPUTED_VALUE"""),13.0)</f>
        <v>13</v>
      </c>
      <c r="O426" s="5"/>
      <c r="P426" s="5"/>
      <c r="Q426" s="5" t="str">
        <f>IFERROR(__xludf.DUMMYFUNCTION("""COMPUTED_VALUE"""),"no")</f>
        <v>no</v>
      </c>
      <c r="R426" s="5" t="str">
        <f>IFERROR(__xludf.DUMMYFUNCTION("""COMPUTED_VALUE"""),"ONT")</f>
        <v>ONT</v>
      </c>
      <c r="S426" s="5" t="str">
        <f>IFERROR(__xludf.DUMMYFUNCTION("""COMPUTED_VALUE"""),"Flye_v2.9-b1768")</f>
        <v>Flye_v2.9-b1768</v>
      </c>
      <c r="T426" s="6"/>
      <c r="U426" s="6">
        <f>IFERROR(__xludf.DUMMYFUNCTION("""COMPUTED_VALUE"""),2024.0)</f>
        <v>2024</v>
      </c>
      <c r="V426" s="6" t="str">
        <f>IFERROR(__xludf.DUMMYFUNCTION("""COMPUTED_VALUE"""),"no")</f>
        <v>no</v>
      </c>
      <c r="W426" s="6"/>
      <c r="X426" s="5"/>
      <c r="Y426" s="5" t="str">
        <f>IFERROR(__xludf.DUMMYFUNCTION("""COMPUTED_VALUE"""),"unpublished")</f>
        <v>unpublished</v>
      </c>
      <c r="Z426" s="5"/>
      <c r="AA426" s="5"/>
      <c r="AB426" s="5"/>
    </row>
    <row r="427">
      <c r="A427" s="5">
        <f>IFERROR(__xludf.DUMMYFUNCTION("""COMPUTED_VALUE"""),100425.0)</f>
        <v>100425</v>
      </c>
      <c r="B427" s="5" t="str">
        <f>IFERROR(__xludf.DUMMYFUNCTION("""COMPUTED_VALUE"""),"UKSW06-240")</f>
        <v>UKSW06-240</v>
      </c>
      <c r="C427" s="5">
        <f>IFERROR(__xludf.DUMMYFUNCTION("""COMPUTED_VALUE"""),4840.0)</f>
        <v>4840</v>
      </c>
      <c r="D427" s="5"/>
      <c r="E427" s="5"/>
      <c r="F427" s="5">
        <f>IFERROR(__xludf.DUMMYFUNCTION("""COMPUTED_VALUE"""),1.0)</f>
        <v>1</v>
      </c>
      <c r="G427" s="5"/>
      <c r="H427" s="5"/>
      <c r="I427" s="5"/>
      <c r="J427" s="5" t="str">
        <f>IFERROR(__xludf.DUMMYFUNCTION("""COMPUTED_VALUE"""),"CS79000")</f>
        <v>CS79000</v>
      </c>
      <c r="K427" s="5" t="str">
        <f>IFERROR(__xludf.DUMMYFUNCTION("""COMPUTED_VALUE"""),"50.4")</f>
        <v>50.4</v>
      </c>
      <c r="L427" s="5" t="str">
        <f>IFERROR(__xludf.DUMMYFUNCTION("""COMPUTED_VALUE"""),"-4.9")</f>
        <v>-4.9</v>
      </c>
      <c r="M427" s="5"/>
      <c r="N427" s="5">
        <f>IFERROR(__xludf.DUMMYFUNCTION("""COMPUTED_VALUE"""),16.0)</f>
        <v>16</v>
      </c>
      <c r="O427" s="5"/>
      <c r="P427" s="5"/>
      <c r="Q427" s="5" t="str">
        <f>IFERROR(__xludf.DUMMYFUNCTION("""COMPUTED_VALUE"""),"no")</f>
        <v>no</v>
      </c>
      <c r="R427" s="5" t="str">
        <f>IFERROR(__xludf.DUMMYFUNCTION("""COMPUTED_VALUE"""),"ONT")</f>
        <v>ONT</v>
      </c>
      <c r="S427" s="5" t="str">
        <f>IFERROR(__xludf.DUMMYFUNCTION("""COMPUTED_VALUE"""),"Flye_v2.9-b1768")</f>
        <v>Flye_v2.9-b1768</v>
      </c>
      <c r="T427" s="6"/>
      <c r="U427" s="6">
        <f>IFERROR(__xludf.DUMMYFUNCTION("""COMPUTED_VALUE"""),2024.0)</f>
        <v>2024</v>
      </c>
      <c r="V427" s="6" t="str">
        <f>IFERROR(__xludf.DUMMYFUNCTION("""COMPUTED_VALUE"""),"no")</f>
        <v>no</v>
      </c>
      <c r="W427" s="6"/>
      <c r="X427" s="5"/>
      <c r="Y427" s="5" t="str">
        <f>IFERROR(__xludf.DUMMYFUNCTION("""COMPUTED_VALUE"""),"unpublished")</f>
        <v>unpublished</v>
      </c>
      <c r="Z427" s="5"/>
      <c r="AA427" s="5"/>
      <c r="AB427" s="5"/>
    </row>
    <row r="428">
      <c r="A428" s="5">
        <f>IFERROR(__xludf.DUMMYFUNCTION("""COMPUTED_VALUE"""),100426.0)</f>
        <v>100426</v>
      </c>
      <c r="B428" s="5" t="str">
        <f>IFERROR(__xludf.DUMMYFUNCTION("""COMPUTED_VALUE"""),"UKSE06-541")</f>
        <v>UKSE06-541</v>
      </c>
      <c r="C428" s="5">
        <f>IFERROR(__xludf.DUMMYFUNCTION("""COMPUTED_VALUE"""),5279.0)</f>
        <v>5279</v>
      </c>
      <c r="D428" s="5"/>
      <c r="E428" s="5"/>
      <c r="F428" s="5">
        <f>IFERROR(__xludf.DUMMYFUNCTION("""COMPUTED_VALUE"""),1.0)</f>
        <v>1</v>
      </c>
      <c r="G428" s="5"/>
      <c r="H428" s="5"/>
      <c r="I428" s="5"/>
      <c r="J428" s="5" t="str">
        <f>IFERROR(__xludf.DUMMYFUNCTION("""COMPUTED_VALUE"""),"CS79004")</f>
        <v>CS79004</v>
      </c>
      <c r="K428" s="5" t="str">
        <f>IFERROR(__xludf.DUMMYFUNCTION("""COMPUTED_VALUE"""),"51.3")</f>
        <v>51.3</v>
      </c>
      <c r="L428" s="12">
        <f>IFERROR(__xludf.DUMMYFUNCTION("""COMPUTED_VALUE"""),45292.0)</f>
        <v>45292</v>
      </c>
      <c r="M428" s="5"/>
      <c r="N428" s="5">
        <f>IFERROR(__xludf.DUMMYFUNCTION("""COMPUTED_VALUE"""),15.0)</f>
        <v>15</v>
      </c>
      <c r="O428" s="5"/>
      <c r="P428" s="5"/>
      <c r="Q428" s="5" t="str">
        <f>IFERROR(__xludf.DUMMYFUNCTION("""COMPUTED_VALUE"""),"no")</f>
        <v>no</v>
      </c>
      <c r="R428" s="5" t="str">
        <f>IFERROR(__xludf.DUMMYFUNCTION("""COMPUTED_VALUE"""),"ONT")</f>
        <v>ONT</v>
      </c>
      <c r="S428" s="5" t="str">
        <f>IFERROR(__xludf.DUMMYFUNCTION("""COMPUTED_VALUE"""),"nextDenovo_v2.5.0")</f>
        <v>nextDenovo_v2.5.0</v>
      </c>
      <c r="T428" s="6"/>
      <c r="U428" s="6">
        <f>IFERROR(__xludf.DUMMYFUNCTION("""COMPUTED_VALUE"""),2024.0)</f>
        <v>2024</v>
      </c>
      <c r="V428" s="6" t="str">
        <f>IFERROR(__xludf.DUMMYFUNCTION("""COMPUTED_VALUE"""),"no")</f>
        <v>no</v>
      </c>
      <c r="W428" s="6"/>
      <c r="X428" s="5"/>
      <c r="Y428" s="5" t="str">
        <f>IFERROR(__xludf.DUMMYFUNCTION("""COMPUTED_VALUE"""),"unpublished")</f>
        <v>unpublished</v>
      </c>
      <c r="Z428" s="5"/>
      <c r="AA428" s="5"/>
      <c r="AB428" s="5"/>
    </row>
    <row r="429">
      <c r="A429" s="5">
        <f>IFERROR(__xludf.DUMMYFUNCTION("""COMPUTED_VALUE"""),100427.0)</f>
        <v>100427</v>
      </c>
      <c r="B429" s="5" t="str">
        <f>IFERROR(__xludf.DUMMYFUNCTION("""COMPUTED_VALUE"""),"Yeg-7")</f>
        <v>Yeg-7</v>
      </c>
      <c r="C429" s="5">
        <f>IFERROR(__xludf.DUMMYFUNCTION("""COMPUTED_VALUE"""),9133.0)</f>
        <v>9133</v>
      </c>
      <c r="D429" s="5"/>
      <c r="E429" s="5"/>
      <c r="F429" s="5">
        <f>IFERROR(__xludf.DUMMYFUNCTION("""COMPUTED_VALUE"""),1.0)</f>
        <v>1</v>
      </c>
      <c r="G429" s="5"/>
      <c r="H429" s="5"/>
      <c r="I429" s="5"/>
      <c r="J429" s="5" t="str">
        <f>IFERROR(__xludf.DUMMYFUNCTION("""COMPUTED_VALUE"""),"CS78867")</f>
        <v>CS78867</v>
      </c>
      <c r="K429" s="5" t="str">
        <f>IFERROR(__xludf.DUMMYFUNCTION("""COMPUTED_VALUE"""),"39.8692")</f>
        <v>39.8692</v>
      </c>
      <c r="L429" s="5" t="str">
        <f>IFERROR(__xludf.DUMMYFUNCTION("""COMPUTED_VALUE"""),"45.3622")</f>
        <v>45.3622</v>
      </c>
      <c r="M429" s="5"/>
      <c r="N429" s="5">
        <f>IFERROR(__xludf.DUMMYFUNCTION("""COMPUTED_VALUE"""),11.0)</f>
        <v>11</v>
      </c>
      <c r="O429" s="5"/>
      <c r="P429" s="5"/>
      <c r="Q429" s="5" t="str">
        <f>IFERROR(__xludf.DUMMYFUNCTION("""COMPUTED_VALUE"""),"no")</f>
        <v>no</v>
      </c>
      <c r="R429" s="5" t="str">
        <f>IFERROR(__xludf.DUMMYFUNCTION("""COMPUTED_VALUE"""),"ONT")</f>
        <v>ONT</v>
      </c>
      <c r="S429" s="5" t="str">
        <f>IFERROR(__xludf.DUMMYFUNCTION("""COMPUTED_VALUE"""),"Flye_v2.9-b1768")</f>
        <v>Flye_v2.9-b1768</v>
      </c>
      <c r="T429" s="6"/>
      <c r="U429" s="6">
        <f>IFERROR(__xludf.DUMMYFUNCTION("""COMPUTED_VALUE"""),2024.0)</f>
        <v>2024</v>
      </c>
      <c r="V429" s="6" t="str">
        <f>IFERROR(__xludf.DUMMYFUNCTION("""COMPUTED_VALUE"""),"no")</f>
        <v>no</v>
      </c>
      <c r="W429" s="6"/>
      <c r="X429" s="5"/>
      <c r="Y429" s="5" t="str">
        <f>IFERROR(__xludf.DUMMYFUNCTION("""COMPUTED_VALUE"""),"unpublished")</f>
        <v>unpublished</v>
      </c>
      <c r="Z429" s="5"/>
      <c r="AA429" s="5"/>
      <c r="AB429" s="5"/>
    </row>
    <row r="430">
      <c r="A430" s="5">
        <f>IFERROR(__xludf.DUMMYFUNCTION("""COMPUTED_VALUE"""),100428.0)</f>
        <v>100428</v>
      </c>
      <c r="B430" s="5" t="str">
        <f>IFERROR(__xludf.DUMMYFUNCTION("""COMPUTED_VALUE"""),"Yeg-8")</f>
        <v>Yeg-8</v>
      </c>
      <c r="C430" s="5">
        <f>IFERROR(__xludf.DUMMYFUNCTION("""COMPUTED_VALUE"""),9134.0)</f>
        <v>9134</v>
      </c>
      <c r="D430" s="5"/>
      <c r="E430" s="5"/>
      <c r="F430" s="5">
        <f>IFERROR(__xludf.DUMMYFUNCTION("""COMPUTED_VALUE"""),1.0)</f>
        <v>1</v>
      </c>
      <c r="G430" s="5"/>
      <c r="H430" s="5"/>
      <c r="I430" s="5"/>
      <c r="J430" s="5" t="str">
        <f>IFERROR(__xludf.DUMMYFUNCTION("""COMPUTED_VALUE"""),"CS78868")</f>
        <v>CS78868</v>
      </c>
      <c r="K430" s="5" t="str">
        <f>IFERROR(__xludf.DUMMYFUNCTION("""COMPUTED_VALUE"""),"39.8692")</f>
        <v>39.8692</v>
      </c>
      <c r="L430" s="5" t="str">
        <f>IFERROR(__xludf.DUMMYFUNCTION("""COMPUTED_VALUE"""),"45.3622")</f>
        <v>45.3622</v>
      </c>
      <c r="M430" s="5"/>
      <c r="N430" s="5">
        <f>IFERROR(__xludf.DUMMYFUNCTION("""COMPUTED_VALUE"""),14.0)</f>
        <v>14</v>
      </c>
      <c r="O430" s="5"/>
      <c r="P430" s="5"/>
      <c r="Q430" s="5" t="str">
        <f>IFERROR(__xludf.DUMMYFUNCTION("""COMPUTED_VALUE"""),"no")</f>
        <v>no</v>
      </c>
      <c r="R430" s="5" t="str">
        <f>IFERROR(__xludf.DUMMYFUNCTION("""COMPUTED_VALUE"""),"ONT")</f>
        <v>ONT</v>
      </c>
      <c r="S430" s="5" t="str">
        <f>IFERROR(__xludf.DUMMYFUNCTION("""COMPUTED_VALUE"""),"Flye_v2.9-b1768")</f>
        <v>Flye_v2.9-b1768</v>
      </c>
      <c r="T430" s="6"/>
      <c r="U430" s="6">
        <f>IFERROR(__xludf.DUMMYFUNCTION("""COMPUTED_VALUE"""),2024.0)</f>
        <v>2024</v>
      </c>
      <c r="V430" s="6" t="str">
        <f>IFERROR(__xludf.DUMMYFUNCTION("""COMPUTED_VALUE"""),"no")</f>
        <v>no</v>
      </c>
      <c r="W430" s="6"/>
      <c r="X430" s="5"/>
      <c r="Y430" s="5" t="str">
        <f>IFERROR(__xludf.DUMMYFUNCTION("""COMPUTED_VALUE"""),"unpublished")</f>
        <v>unpublished</v>
      </c>
      <c r="Z430" s="5"/>
      <c r="AA430" s="5"/>
      <c r="AB430" s="5"/>
    </row>
    <row r="431">
      <c r="A431" s="5">
        <f>IFERROR(__xludf.DUMMYFUNCTION("""COMPUTED_VALUE"""),100429.0)</f>
        <v>100429</v>
      </c>
      <c r="B431" s="5" t="str">
        <f>IFERROR(__xludf.DUMMYFUNCTION("""COMPUTED_VALUE"""),"Zu-0")</f>
        <v>Zu-0</v>
      </c>
      <c r="C431" s="5">
        <f>IFERROR(__xludf.DUMMYFUNCTION("""COMPUTED_VALUE"""),7417.0)</f>
        <v>7417</v>
      </c>
      <c r="D431" s="5"/>
      <c r="E431" s="5"/>
      <c r="F431" s="5">
        <f>IFERROR(__xludf.DUMMYFUNCTION("""COMPUTED_VALUE"""),1.0)</f>
        <v>1</v>
      </c>
      <c r="G431" s="5"/>
      <c r="H431" s="5"/>
      <c r="I431" s="5"/>
      <c r="J431" s="5" t="str">
        <f>IFERROR(__xludf.DUMMYFUNCTION("""COMPUTED_VALUE"""),"CS78880")</f>
        <v>CS78880</v>
      </c>
      <c r="K431" s="5" t="str">
        <f>IFERROR(__xludf.DUMMYFUNCTION("""COMPUTED_VALUE"""),"47.3667")</f>
        <v>47.3667</v>
      </c>
      <c r="L431" s="5" t="str">
        <f>IFERROR(__xludf.DUMMYFUNCTION("""COMPUTED_VALUE"""),"8.55")</f>
        <v>8.55</v>
      </c>
      <c r="M431" s="5"/>
      <c r="N431" s="5">
        <f>IFERROR(__xludf.DUMMYFUNCTION("""COMPUTED_VALUE"""),15.0)</f>
        <v>15</v>
      </c>
      <c r="O431" s="5"/>
      <c r="P431" s="5"/>
      <c r="Q431" s="5" t="str">
        <f>IFERROR(__xludf.DUMMYFUNCTION("""COMPUTED_VALUE"""),"no")</f>
        <v>no</v>
      </c>
      <c r="R431" s="5" t="str">
        <f>IFERROR(__xludf.DUMMYFUNCTION("""COMPUTED_VALUE"""),"ONT")</f>
        <v>ONT</v>
      </c>
      <c r="S431" s="5" t="str">
        <f>IFERROR(__xludf.DUMMYFUNCTION("""COMPUTED_VALUE"""),"nextDenovo_v2.5.0")</f>
        <v>nextDenovo_v2.5.0</v>
      </c>
      <c r="T431" s="6"/>
      <c r="U431" s="6">
        <f>IFERROR(__xludf.DUMMYFUNCTION("""COMPUTED_VALUE"""),2024.0)</f>
        <v>2024</v>
      </c>
      <c r="V431" s="6" t="str">
        <f>IFERROR(__xludf.DUMMYFUNCTION("""COMPUTED_VALUE"""),"no")</f>
        <v>no</v>
      </c>
      <c r="W431" s="6"/>
      <c r="X431" s="5"/>
      <c r="Y431" s="5" t="str">
        <f>IFERROR(__xludf.DUMMYFUNCTION("""COMPUTED_VALUE"""),"unpublished")</f>
        <v>unpublished</v>
      </c>
      <c r="Z431" s="5"/>
      <c r="AA431" s="5"/>
      <c r="AB431" s="5"/>
    </row>
    <row r="432">
      <c r="T432" s="6"/>
      <c r="U432" s="6"/>
      <c r="V432" s="6"/>
      <c r="W432" s="6"/>
    </row>
    <row r="433">
      <c r="T433" s="6"/>
      <c r="U433" s="6"/>
      <c r="V433" s="6"/>
      <c r="W433" s="6"/>
    </row>
    <row r="434">
      <c r="T434" s="6"/>
      <c r="U434" s="6"/>
      <c r="V434" s="6"/>
      <c r="W434" s="6"/>
    </row>
    <row r="435">
      <c r="T435" s="6"/>
      <c r="U435" s="6"/>
      <c r="V435" s="6"/>
      <c r="W435" s="6"/>
    </row>
    <row r="436">
      <c r="T436" s="6"/>
      <c r="U436" s="6"/>
      <c r="V436" s="6"/>
      <c r="W436" s="6"/>
    </row>
    <row r="437">
      <c r="T437" s="6"/>
      <c r="U437" s="6"/>
      <c r="V437" s="6"/>
      <c r="W437" s="6"/>
    </row>
    <row r="438">
      <c r="T438" s="6"/>
      <c r="U438" s="6"/>
      <c r="V438" s="6"/>
      <c r="W438" s="6"/>
    </row>
    <row r="439">
      <c r="T439" s="6"/>
      <c r="U439" s="6"/>
      <c r="V439" s="6"/>
      <c r="W439" s="6"/>
    </row>
    <row r="440">
      <c r="T440" s="6"/>
      <c r="U440" s="6"/>
      <c r="V440" s="6"/>
      <c r="W440" s="6"/>
    </row>
    <row r="441">
      <c r="T441" s="6"/>
      <c r="U441" s="6"/>
      <c r="V441" s="6"/>
      <c r="W441" s="6"/>
    </row>
    <row r="442">
      <c r="T442" s="6"/>
      <c r="U442" s="6"/>
      <c r="V442" s="6"/>
      <c r="W442" s="6"/>
    </row>
    <row r="443">
      <c r="T443" s="6"/>
      <c r="U443" s="6"/>
      <c r="V443" s="6"/>
      <c r="W443" s="6"/>
    </row>
    <row r="444">
      <c r="T444" s="6"/>
      <c r="U444" s="6"/>
      <c r="V444" s="6"/>
      <c r="W444" s="6"/>
    </row>
    <row r="445">
      <c r="T445" s="6"/>
      <c r="U445" s="6"/>
      <c r="V445" s="6"/>
      <c r="W445" s="6"/>
    </row>
    <row r="446">
      <c r="T446" s="6"/>
      <c r="U446" s="6"/>
      <c r="V446" s="6"/>
      <c r="W446" s="6"/>
    </row>
    <row r="447">
      <c r="T447" s="6"/>
      <c r="U447" s="6"/>
      <c r="V447" s="6"/>
      <c r="W447" s="6"/>
    </row>
    <row r="448">
      <c r="T448" s="6"/>
      <c r="U448" s="6"/>
      <c r="V448" s="6"/>
      <c r="W448" s="6"/>
    </row>
    <row r="449">
      <c r="T449" s="6"/>
      <c r="U449" s="6"/>
      <c r="V449" s="6"/>
      <c r="W449" s="6"/>
    </row>
    <row r="450">
      <c r="T450" s="6"/>
      <c r="U450" s="6"/>
      <c r="V450" s="6"/>
      <c r="W450" s="6"/>
    </row>
    <row r="451">
      <c r="T451" s="6"/>
      <c r="U451" s="6"/>
      <c r="V451" s="6"/>
      <c r="W451" s="6"/>
    </row>
    <row r="452">
      <c r="T452" s="6"/>
      <c r="U452" s="6"/>
      <c r="V452" s="6"/>
      <c r="W452" s="6"/>
    </row>
    <row r="453">
      <c r="T453" s="6"/>
      <c r="U453" s="6"/>
      <c r="V453" s="6"/>
      <c r="W453" s="6"/>
    </row>
    <row r="454">
      <c r="T454" s="6"/>
      <c r="U454" s="6"/>
      <c r="V454" s="6"/>
      <c r="W454" s="6"/>
    </row>
    <row r="455">
      <c r="T455" s="6"/>
      <c r="U455" s="6"/>
      <c r="V455" s="6"/>
      <c r="W455" s="6"/>
    </row>
    <row r="456">
      <c r="T456" s="6"/>
      <c r="U456" s="6"/>
      <c r="V456" s="6"/>
      <c r="W456" s="6"/>
    </row>
    <row r="457">
      <c r="T457" s="6"/>
      <c r="U457" s="6"/>
      <c r="V457" s="6"/>
      <c r="W457" s="6"/>
    </row>
    <row r="458">
      <c r="T458" s="6"/>
      <c r="U458" s="6"/>
      <c r="V458" s="6"/>
      <c r="W458" s="6"/>
    </row>
    <row r="459">
      <c r="T459" s="6"/>
      <c r="U459" s="6"/>
      <c r="V459" s="6"/>
      <c r="W459" s="6"/>
    </row>
    <row r="460">
      <c r="T460" s="6"/>
      <c r="U460" s="6"/>
      <c r="V460" s="6"/>
      <c r="W460" s="6"/>
    </row>
    <row r="461">
      <c r="T461" s="6"/>
      <c r="U461" s="6"/>
      <c r="V461" s="6"/>
      <c r="W461" s="6"/>
    </row>
    <row r="462">
      <c r="T462" s="6"/>
      <c r="U462" s="6"/>
      <c r="V462" s="6"/>
      <c r="W462" s="6"/>
    </row>
    <row r="463">
      <c r="T463" s="6"/>
      <c r="U463" s="6"/>
      <c r="V463" s="6"/>
      <c r="W463" s="6"/>
    </row>
    <row r="464">
      <c r="T464" s="6"/>
      <c r="U464" s="6"/>
      <c r="V464" s="6"/>
      <c r="W464" s="6"/>
    </row>
    <row r="465">
      <c r="T465" s="6"/>
      <c r="U465" s="6"/>
      <c r="V465" s="6"/>
      <c r="W465" s="6"/>
    </row>
    <row r="466">
      <c r="T466" s="6"/>
      <c r="U466" s="6"/>
      <c r="V466" s="6"/>
      <c r="W466" s="6"/>
    </row>
    <row r="467">
      <c r="T467" s="6"/>
      <c r="U467" s="6"/>
      <c r="V467" s="6"/>
      <c r="W467" s="6"/>
    </row>
    <row r="468">
      <c r="T468" s="6"/>
      <c r="U468" s="6"/>
      <c r="V468" s="6"/>
      <c r="W468" s="6"/>
    </row>
    <row r="469">
      <c r="T469" s="6"/>
      <c r="U469" s="6"/>
      <c r="V469" s="6"/>
      <c r="W469" s="6"/>
    </row>
    <row r="470">
      <c r="T470" s="6"/>
      <c r="U470" s="6"/>
      <c r="V470" s="6"/>
      <c r="W470" s="6"/>
    </row>
    <row r="471">
      <c r="T471" s="6"/>
      <c r="U471" s="6"/>
      <c r="V471" s="6"/>
      <c r="W471" s="6"/>
    </row>
    <row r="472">
      <c r="T472" s="6"/>
      <c r="U472" s="6"/>
      <c r="V472" s="6"/>
      <c r="W472" s="6"/>
    </row>
    <row r="473">
      <c r="T473" s="6"/>
      <c r="U473" s="6"/>
      <c r="V473" s="6"/>
      <c r="W473" s="6"/>
    </row>
    <row r="474">
      <c r="T474" s="6"/>
      <c r="U474" s="6"/>
      <c r="V474" s="6"/>
      <c r="W474" s="6"/>
    </row>
    <row r="475">
      <c r="T475" s="6"/>
      <c r="U475" s="6"/>
      <c r="V475" s="6"/>
      <c r="W475" s="6"/>
    </row>
    <row r="476">
      <c r="T476" s="6"/>
      <c r="U476" s="6"/>
      <c r="V476" s="6"/>
      <c r="W476" s="6"/>
    </row>
    <row r="477">
      <c r="T477" s="6"/>
      <c r="U477" s="6"/>
      <c r="V477" s="6"/>
      <c r="W477" s="6"/>
    </row>
    <row r="478">
      <c r="T478" s="6"/>
      <c r="U478" s="6"/>
      <c r="V478" s="6"/>
      <c r="W478" s="6"/>
    </row>
    <row r="479">
      <c r="T479" s="6"/>
      <c r="U479" s="6"/>
      <c r="V479" s="6"/>
      <c r="W479" s="6"/>
    </row>
    <row r="480">
      <c r="T480" s="6"/>
      <c r="U480" s="6"/>
      <c r="V480" s="6"/>
      <c r="W480" s="6"/>
    </row>
    <row r="481">
      <c r="T481" s="6"/>
      <c r="U481" s="6"/>
      <c r="V481" s="6"/>
      <c r="W481" s="6"/>
    </row>
    <row r="482">
      <c r="T482" s="6"/>
      <c r="U482" s="6"/>
      <c r="V482" s="6"/>
      <c r="W482" s="6"/>
    </row>
    <row r="483">
      <c r="T483" s="6"/>
      <c r="U483" s="6"/>
      <c r="V483" s="6"/>
      <c r="W483" s="6"/>
    </row>
    <row r="484">
      <c r="T484" s="6"/>
      <c r="U484" s="6"/>
      <c r="V484" s="6"/>
      <c r="W484" s="6"/>
    </row>
    <row r="485">
      <c r="T485" s="6"/>
      <c r="U485" s="6"/>
      <c r="V485" s="6"/>
      <c r="W485" s="6"/>
    </row>
    <row r="486">
      <c r="T486" s="6"/>
      <c r="U486" s="6"/>
      <c r="V486" s="6"/>
      <c r="W486" s="6"/>
    </row>
    <row r="487">
      <c r="T487" s="6"/>
      <c r="U487" s="6"/>
      <c r="V487" s="6"/>
      <c r="W487" s="6"/>
    </row>
    <row r="488">
      <c r="T488" s="6"/>
      <c r="U488" s="6"/>
      <c r="V488" s="6"/>
      <c r="W488" s="6"/>
    </row>
    <row r="489">
      <c r="T489" s="6"/>
      <c r="U489" s="6"/>
      <c r="V489" s="6"/>
      <c r="W489" s="6"/>
    </row>
    <row r="490">
      <c r="T490" s="6"/>
      <c r="U490" s="6"/>
      <c r="V490" s="6"/>
      <c r="W490" s="6"/>
    </row>
    <row r="491">
      <c r="T491" s="6"/>
      <c r="U491" s="6"/>
      <c r="V491" s="6"/>
      <c r="W491" s="6"/>
    </row>
    <row r="492">
      <c r="T492" s="6"/>
      <c r="U492" s="6"/>
      <c r="V492" s="6"/>
      <c r="W492" s="6"/>
    </row>
    <row r="493">
      <c r="T493" s="6"/>
      <c r="U493" s="6"/>
      <c r="V493" s="6"/>
      <c r="W493" s="6"/>
    </row>
    <row r="494">
      <c r="T494" s="6"/>
      <c r="U494" s="6"/>
      <c r="V494" s="6"/>
      <c r="W494" s="6"/>
    </row>
    <row r="495">
      <c r="T495" s="6"/>
      <c r="U495" s="6"/>
      <c r="V495" s="6"/>
      <c r="W495" s="6"/>
    </row>
    <row r="496">
      <c r="T496" s="6"/>
      <c r="U496" s="6"/>
      <c r="V496" s="6"/>
      <c r="W496" s="6"/>
    </row>
    <row r="497">
      <c r="T497" s="6"/>
      <c r="U497" s="6"/>
      <c r="V497" s="6"/>
      <c r="W497" s="6"/>
    </row>
    <row r="498">
      <c r="T498" s="6"/>
      <c r="U498" s="6"/>
      <c r="V498" s="6"/>
      <c r="W498" s="6"/>
    </row>
    <row r="499">
      <c r="T499" s="6"/>
      <c r="U499" s="6"/>
      <c r="V499" s="6"/>
      <c r="W499" s="6"/>
    </row>
    <row r="500">
      <c r="T500" s="6"/>
      <c r="U500" s="6"/>
      <c r="V500" s="6"/>
      <c r="W500" s="6"/>
    </row>
    <row r="501">
      <c r="T501" s="6"/>
      <c r="U501" s="6"/>
      <c r="V501" s="6"/>
      <c r="W501" s="6"/>
    </row>
    <row r="502">
      <c r="T502" s="6"/>
      <c r="U502" s="6"/>
      <c r="V502" s="6"/>
      <c r="W502" s="6"/>
    </row>
    <row r="503">
      <c r="T503" s="6"/>
      <c r="U503" s="6"/>
      <c r="V503" s="6"/>
      <c r="W503" s="6"/>
    </row>
    <row r="504">
      <c r="T504" s="6"/>
      <c r="U504" s="6"/>
      <c r="V504" s="6"/>
      <c r="W504" s="6"/>
    </row>
    <row r="505">
      <c r="T505" s="6"/>
      <c r="U505" s="6"/>
      <c r="V505" s="6"/>
      <c r="W505" s="6"/>
    </row>
    <row r="506">
      <c r="T506" s="6"/>
      <c r="U506" s="6"/>
      <c r="V506" s="6"/>
      <c r="W506" s="6"/>
    </row>
    <row r="507">
      <c r="T507" s="6"/>
      <c r="U507" s="6"/>
      <c r="V507" s="6"/>
      <c r="W507" s="6"/>
    </row>
    <row r="508">
      <c r="T508" s="6"/>
      <c r="U508" s="6"/>
      <c r="V508" s="6"/>
      <c r="W508" s="6"/>
    </row>
    <row r="509">
      <c r="T509" s="6"/>
      <c r="U509" s="6"/>
      <c r="V509" s="6"/>
      <c r="W509" s="6"/>
    </row>
    <row r="510">
      <c r="T510" s="6"/>
      <c r="U510" s="6"/>
      <c r="V510" s="6"/>
      <c r="W510" s="6"/>
    </row>
    <row r="511">
      <c r="T511" s="6"/>
      <c r="U511" s="6"/>
      <c r="V511" s="6"/>
      <c r="W511" s="6"/>
    </row>
    <row r="512">
      <c r="T512" s="6"/>
      <c r="U512" s="6"/>
      <c r="V512" s="6"/>
      <c r="W512" s="6"/>
    </row>
    <row r="513">
      <c r="T513" s="6"/>
      <c r="U513" s="6"/>
      <c r="V513" s="6"/>
      <c r="W513" s="6"/>
    </row>
    <row r="514">
      <c r="T514" s="6"/>
      <c r="U514" s="6"/>
      <c r="V514" s="6"/>
      <c r="W514" s="6"/>
    </row>
    <row r="515">
      <c r="T515" s="6"/>
      <c r="U515" s="6"/>
      <c r="V515" s="6"/>
      <c r="W515" s="6"/>
    </row>
    <row r="516">
      <c r="T516" s="6"/>
      <c r="U516" s="6"/>
      <c r="V516" s="6"/>
      <c r="W516" s="6"/>
    </row>
    <row r="517">
      <c r="T517" s="6"/>
      <c r="U517" s="6"/>
      <c r="V517" s="6"/>
      <c r="W517" s="6"/>
    </row>
    <row r="518">
      <c r="T518" s="6"/>
      <c r="U518" s="6"/>
      <c r="V518" s="6"/>
      <c r="W518" s="6"/>
    </row>
    <row r="519">
      <c r="T519" s="6"/>
      <c r="U519" s="6"/>
      <c r="V519" s="6"/>
      <c r="W519" s="6"/>
    </row>
    <row r="520">
      <c r="T520" s="6"/>
      <c r="U520" s="6"/>
      <c r="V520" s="6"/>
      <c r="W520" s="6"/>
    </row>
    <row r="521">
      <c r="T521" s="6"/>
      <c r="U521" s="6"/>
      <c r="V521" s="6"/>
      <c r="W521" s="6"/>
    </row>
    <row r="522">
      <c r="T522" s="6"/>
      <c r="U522" s="6"/>
      <c r="V522" s="6"/>
      <c r="W522" s="6"/>
    </row>
    <row r="523">
      <c r="T523" s="6"/>
      <c r="U523" s="6"/>
      <c r="V523" s="6"/>
      <c r="W523" s="6"/>
    </row>
    <row r="524">
      <c r="T524" s="6"/>
      <c r="U524" s="6"/>
      <c r="V524" s="6"/>
      <c r="W524" s="6"/>
    </row>
    <row r="525">
      <c r="T525" s="6"/>
      <c r="U525" s="6"/>
      <c r="V525" s="6"/>
      <c r="W525" s="6"/>
    </row>
    <row r="526">
      <c r="T526" s="6"/>
      <c r="U526" s="6"/>
      <c r="V526" s="6"/>
      <c r="W526" s="6"/>
    </row>
    <row r="527">
      <c r="T527" s="6"/>
      <c r="U527" s="6"/>
      <c r="V527" s="6"/>
      <c r="W527" s="6"/>
    </row>
    <row r="528">
      <c r="T528" s="6"/>
      <c r="U528" s="6"/>
      <c r="V528" s="6"/>
      <c r="W528" s="6"/>
    </row>
    <row r="529">
      <c r="T529" s="6"/>
      <c r="U529" s="6"/>
      <c r="V529" s="6"/>
      <c r="W529" s="6"/>
    </row>
    <row r="530">
      <c r="T530" s="6"/>
      <c r="U530" s="6"/>
      <c r="V530" s="6"/>
      <c r="W530" s="6"/>
    </row>
    <row r="531">
      <c r="T531" s="6"/>
      <c r="U531" s="6"/>
      <c r="V531" s="6"/>
      <c r="W531" s="6"/>
    </row>
    <row r="532">
      <c r="T532" s="6"/>
      <c r="U532" s="6"/>
      <c r="V532" s="6"/>
      <c r="W532" s="6"/>
    </row>
    <row r="533">
      <c r="T533" s="6"/>
      <c r="U533" s="6"/>
      <c r="V533" s="6"/>
      <c r="W533" s="6"/>
    </row>
    <row r="534">
      <c r="T534" s="6"/>
      <c r="U534" s="6"/>
      <c r="V534" s="6"/>
      <c r="W534" s="6"/>
    </row>
    <row r="535">
      <c r="T535" s="6"/>
      <c r="U535" s="6"/>
      <c r="V535" s="6"/>
      <c r="W535" s="6"/>
    </row>
    <row r="536">
      <c r="T536" s="6"/>
      <c r="U536" s="6"/>
      <c r="V536" s="6"/>
      <c r="W536" s="6"/>
    </row>
    <row r="537">
      <c r="T537" s="6"/>
      <c r="U537" s="6"/>
      <c r="V537" s="6"/>
      <c r="W537" s="6"/>
    </row>
    <row r="538">
      <c r="T538" s="6"/>
      <c r="U538" s="6"/>
      <c r="V538" s="6"/>
      <c r="W538" s="6"/>
    </row>
    <row r="539">
      <c r="T539" s="6"/>
      <c r="U539" s="6"/>
      <c r="V539" s="6"/>
      <c r="W539" s="6"/>
    </row>
    <row r="540">
      <c r="T540" s="6"/>
      <c r="U540" s="6"/>
      <c r="V540" s="6"/>
      <c r="W540" s="6"/>
    </row>
    <row r="541">
      <c r="T541" s="6"/>
      <c r="U541" s="6"/>
      <c r="V541" s="6"/>
      <c r="W541" s="6"/>
    </row>
    <row r="542">
      <c r="T542" s="6"/>
      <c r="U542" s="6"/>
      <c r="V542" s="6"/>
      <c r="W542" s="6"/>
    </row>
    <row r="543">
      <c r="T543" s="6"/>
      <c r="U543" s="6"/>
      <c r="V543" s="6"/>
      <c r="W543" s="6"/>
    </row>
    <row r="544">
      <c r="T544" s="6"/>
      <c r="U544" s="6"/>
      <c r="V544" s="6"/>
      <c r="W544" s="6"/>
    </row>
    <row r="545">
      <c r="T545" s="6"/>
      <c r="U545" s="6"/>
      <c r="V545" s="6"/>
      <c r="W545" s="6"/>
    </row>
    <row r="546">
      <c r="T546" s="6"/>
      <c r="U546" s="6"/>
      <c r="V546" s="6"/>
      <c r="W546" s="6"/>
    </row>
    <row r="547">
      <c r="T547" s="6"/>
      <c r="U547" s="6"/>
      <c r="V547" s="6"/>
      <c r="W547" s="6"/>
    </row>
    <row r="548">
      <c r="T548" s="6"/>
      <c r="U548" s="6"/>
      <c r="V548" s="6"/>
      <c r="W548" s="6"/>
    </row>
    <row r="549">
      <c r="T549" s="6"/>
      <c r="U549" s="6"/>
      <c r="V549" s="6"/>
      <c r="W549" s="6"/>
    </row>
    <row r="550">
      <c r="T550" s="6"/>
      <c r="U550" s="6"/>
      <c r="V550" s="6"/>
      <c r="W550" s="6"/>
    </row>
    <row r="551">
      <c r="T551" s="6"/>
      <c r="U551" s="6"/>
      <c r="V551" s="6"/>
      <c r="W551" s="6"/>
    </row>
    <row r="552">
      <c r="T552" s="6"/>
      <c r="U552" s="6"/>
      <c r="V552" s="6"/>
      <c r="W552" s="6"/>
    </row>
    <row r="553">
      <c r="T553" s="6"/>
      <c r="U553" s="6"/>
      <c r="V553" s="6"/>
      <c r="W553" s="6"/>
    </row>
    <row r="554">
      <c r="T554" s="6"/>
      <c r="U554" s="6"/>
      <c r="V554" s="6"/>
      <c r="W554" s="6"/>
    </row>
    <row r="555">
      <c r="T555" s="6"/>
      <c r="U555" s="6"/>
      <c r="V555" s="6"/>
      <c r="W555" s="6"/>
    </row>
    <row r="556">
      <c r="T556" s="6"/>
      <c r="U556" s="6"/>
      <c r="V556" s="6"/>
      <c r="W556" s="6"/>
    </row>
    <row r="557">
      <c r="T557" s="6"/>
      <c r="U557" s="6"/>
      <c r="V557" s="6"/>
      <c r="W557" s="6"/>
    </row>
    <row r="558">
      <c r="T558" s="6"/>
      <c r="U558" s="6"/>
      <c r="V558" s="6"/>
      <c r="W558" s="6"/>
    </row>
    <row r="559">
      <c r="T559" s="6"/>
      <c r="U559" s="6"/>
      <c r="V559" s="6"/>
      <c r="W559" s="6"/>
    </row>
    <row r="560">
      <c r="T560" s="6"/>
      <c r="U560" s="6"/>
      <c r="V560" s="6"/>
      <c r="W560" s="6"/>
    </row>
    <row r="561">
      <c r="T561" s="6"/>
      <c r="U561" s="6"/>
      <c r="V561" s="6"/>
      <c r="W561" s="6"/>
    </row>
    <row r="562">
      <c r="T562" s="6"/>
      <c r="U562" s="6"/>
      <c r="V562" s="6"/>
      <c r="W562" s="6"/>
    </row>
    <row r="563">
      <c r="T563" s="6"/>
      <c r="U563" s="6"/>
      <c r="V563" s="6"/>
      <c r="W563" s="6"/>
    </row>
    <row r="564">
      <c r="T564" s="6"/>
      <c r="U564" s="6"/>
      <c r="V564" s="6"/>
      <c r="W564" s="6"/>
    </row>
    <row r="565">
      <c r="T565" s="6"/>
      <c r="U565" s="6"/>
      <c r="V565" s="6"/>
      <c r="W565" s="6"/>
    </row>
    <row r="566">
      <c r="T566" s="6"/>
      <c r="U566" s="6"/>
      <c r="V566" s="6"/>
      <c r="W566" s="6"/>
    </row>
    <row r="567">
      <c r="T567" s="6"/>
      <c r="U567" s="6"/>
      <c r="V567" s="6"/>
      <c r="W567" s="6"/>
    </row>
    <row r="568">
      <c r="T568" s="6"/>
      <c r="U568" s="6"/>
      <c r="V568" s="6"/>
      <c r="W568" s="6"/>
    </row>
    <row r="569">
      <c r="T569" s="6"/>
      <c r="U569" s="6"/>
      <c r="V569" s="6"/>
      <c r="W569" s="6"/>
    </row>
    <row r="570">
      <c r="T570" s="6"/>
      <c r="U570" s="6"/>
      <c r="V570" s="6"/>
      <c r="W570" s="6"/>
    </row>
    <row r="571">
      <c r="T571" s="6"/>
      <c r="U571" s="6"/>
      <c r="V571" s="6"/>
      <c r="W571" s="6"/>
    </row>
    <row r="572">
      <c r="T572" s="6"/>
      <c r="U572" s="6"/>
      <c r="V572" s="6"/>
      <c r="W572" s="6"/>
    </row>
    <row r="573">
      <c r="T573" s="6"/>
      <c r="U573" s="6"/>
      <c r="V573" s="6"/>
      <c r="W573" s="6"/>
    </row>
    <row r="574">
      <c r="T574" s="6"/>
      <c r="U574" s="6"/>
      <c r="V574" s="6"/>
      <c r="W574" s="6"/>
    </row>
    <row r="575">
      <c r="T575" s="6"/>
      <c r="U575" s="6"/>
      <c r="V575" s="6"/>
      <c r="W575" s="6"/>
    </row>
    <row r="576">
      <c r="T576" s="6"/>
      <c r="U576" s="6"/>
      <c r="V576" s="6"/>
      <c r="W576" s="6"/>
    </row>
    <row r="577">
      <c r="T577" s="6"/>
      <c r="U577" s="6"/>
      <c r="V577" s="6"/>
      <c r="W577" s="6"/>
    </row>
    <row r="578">
      <c r="T578" s="6"/>
      <c r="U578" s="6"/>
      <c r="V578" s="6"/>
      <c r="W578" s="6"/>
    </row>
    <row r="579">
      <c r="T579" s="6"/>
      <c r="U579" s="6"/>
      <c r="V579" s="6"/>
      <c r="W579" s="6"/>
    </row>
    <row r="580">
      <c r="T580" s="6"/>
      <c r="U580" s="6"/>
      <c r="V580" s="6"/>
      <c r="W580" s="6"/>
    </row>
    <row r="581">
      <c r="T581" s="6"/>
      <c r="U581" s="6"/>
      <c r="V581" s="6"/>
      <c r="W581" s="6"/>
    </row>
    <row r="582">
      <c r="T582" s="6"/>
      <c r="U582" s="6"/>
      <c r="V582" s="6"/>
      <c r="W582" s="6"/>
    </row>
    <row r="583">
      <c r="T583" s="6"/>
      <c r="U583" s="6"/>
      <c r="V583" s="6"/>
      <c r="W583" s="6"/>
    </row>
    <row r="584">
      <c r="T584" s="6"/>
      <c r="U584" s="6"/>
      <c r="V584" s="6"/>
      <c r="W584" s="6"/>
    </row>
    <row r="585">
      <c r="T585" s="6"/>
      <c r="U585" s="6"/>
      <c r="V585" s="6"/>
      <c r="W585" s="6"/>
    </row>
    <row r="586">
      <c r="T586" s="6"/>
      <c r="U586" s="6"/>
      <c r="V586" s="6"/>
      <c r="W586" s="6"/>
    </row>
    <row r="587">
      <c r="T587" s="6"/>
      <c r="U587" s="6"/>
      <c r="V587" s="6"/>
      <c r="W587" s="6"/>
    </row>
    <row r="588">
      <c r="T588" s="6"/>
      <c r="U588" s="6"/>
      <c r="V588" s="6"/>
      <c r="W588" s="6"/>
    </row>
    <row r="589">
      <c r="T589" s="6"/>
      <c r="U589" s="6"/>
      <c r="V589" s="6"/>
      <c r="W589" s="6"/>
    </row>
    <row r="590">
      <c r="T590" s="6"/>
      <c r="U590" s="6"/>
      <c r="V590" s="6"/>
      <c r="W590" s="6"/>
    </row>
    <row r="591">
      <c r="T591" s="6"/>
      <c r="U591" s="6"/>
      <c r="V591" s="6"/>
      <c r="W591" s="6"/>
    </row>
    <row r="592">
      <c r="T592" s="6"/>
      <c r="U592" s="6"/>
      <c r="V592" s="6"/>
      <c r="W592" s="6"/>
    </row>
    <row r="593">
      <c r="T593" s="6"/>
      <c r="U593" s="6"/>
      <c r="V593" s="6"/>
      <c r="W593" s="6"/>
    </row>
    <row r="594">
      <c r="T594" s="6"/>
      <c r="U594" s="6"/>
      <c r="V594" s="6"/>
      <c r="W594" s="6"/>
    </row>
    <row r="595">
      <c r="T595" s="6"/>
      <c r="U595" s="6"/>
      <c r="V595" s="6"/>
      <c r="W595" s="6"/>
    </row>
    <row r="596">
      <c r="T596" s="6"/>
      <c r="U596" s="6"/>
      <c r="V596" s="6"/>
      <c r="W596" s="6"/>
    </row>
    <row r="597">
      <c r="T597" s="6"/>
      <c r="U597" s="6"/>
      <c r="V597" s="6"/>
      <c r="W597" s="6"/>
    </row>
    <row r="598">
      <c r="T598" s="6"/>
      <c r="U598" s="6"/>
      <c r="V598" s="6"/>
      <c r="W598" s="6"/>
    </row>
    <row r="599">
      <c r="T599" s="6"/>
      <c r="U599" s="6"/>
      <c r="V599" s="6"/>
      <c r="W599" s="6"/>
    </row>
    <row r="600">
      <c r="T600" s="6"/>
      <c r="U600" s="6"/>
      <c r="V600" s="6"/>
      <c r="W600" s="6"/>
    </row>
    <row r="601">
      <c r="T601" s="6"/>
      <c r="U601" s="6"/>
      <c r="V601" s="6"/>
      <c r="W601" s="6"/>
    </row>
    <row r="602">
      <c r="T602" s="6"/>
      <c r="U602" s="6"/>
      <c r="V602" s="6"/>
      <c r="W602" s="6"/>
    </row>
    <row r="603">
      <c r="T603" s="6"/>
      <c r="U603" s="6"/>
      <c r="V603" s="6"/>
      <c r="W603" s="6"/>
    </row>
    <row r="604">
      <c r="T604" s="6"/>
      <c r="U604" s="6"/>
      <c r="V604" s="6"/>
      <c r="W604" s="6"/>
    </row>
    <row r="605">
      <c r="T605" s="6"/>
      <c r="U605" s="6"/>
      <c r="V605" s="6"/>
      <c r="W605" s="6"/>
    </row>
    <row r="606">
      <c r="T606" s="6"/>
      <c r="U606" s="6"/>
      <c r="V606" s="6"/>
      <c r="W606" s="6"/>
    </row>
    <row r="607">
      <c r="T607" s="6"/>
      <c r="U607" s="6"/>
      <c r="V607" s="6"/>
      <c r="W607" s="6"/>
    </row>
    <row r="608">
      <c r="T608" s="6"/>
      <c r="U608" s="6"/>
      <c r="V608" s="6"/>
      <c r="W608" s="6"/>
    </row>
    <row r="609">
      <c r="T609" s="6"/>
      <c r="U609" s="6"/>
      <c r="V609" s="6"/>
      <c r="W609" s="6"/>
    </row>
    <row r="610">
      <c r="T610" s="6"/>
      <c r="U610" s="6"/>
      <c r="V610" s="6"/>
      <c r="W610" s="6"/>
    </row>
    <row r="611">
      <c r="T611" s="6"/>
      <c r="U611" s="6"/>
      <c r="V611" s="6"/>
      <c r="W611" s="6"/>
    </row>
    <row r="612">
      <c r="T612" s="6"/>
      <c r="U612" s="6"/>
      <c r="V612" s="6"/>
      <c r="W612" s="6"/>
    </row>
    <row r="613">
      <c r="T613" s="6"/>
      <c r="U613" s="6"/>
      <c r="V613" s="6"/>
      <c r="W613" s="6"/>
    </row>
    <row r="614">
      <c r="T614" s="6"/>
      <c r="U614" s="6"/>
      <c r="V614" s="6"/>
      <c r="W614" s="6"/>
    </row>
    <row r="615">
      <c r="T615" s="6"/>
      <c r="U615" s="6"/>
      <c r="V615" s="6"/>
      <c r="W615" s="6"/>
    </row>
    <row r="616">
      <c r="T616" s="6"/>
      <c r="U616" s="6"/>
      <c r="V616" s="6"/>
      <c r="W616" s="6"/>
    </row>
    <row r="617">
      <c r="T617" s="6"/>
      <c r="U617" s="6"/>
      <c r="V617" s="6"/>
      <c r="W617" s="6"/>
    </row>
    <row r="618">
      <c r="T618" s="6"/>
      <c r="U618" s="6"/>
      <c r="V618" s="6"/>
      <c r="W618" s="6"/>
    </row>
    <row r="619">
      <c r="T619" s="6"/>
      <c r="U619" s="6"/>
      <c r="V619" s="6"/>
      <c r="W619" s="6"/>
    </row>
    <row r="620">
      <c r="T620" s="6"/>
      <c r="U620" s="6"/>
      <c r="V620" s="6"/>
      <c r="W620" s="6"/>
    </row>
    <row r="621">
      <c r="T621" s="6"/>
      <c r="U621" s="6"/>
      <c r="V621" s="6"/>
      <c r="W621" s="6"/>
    </row>
    <row r="622">
      <c r="T622" s="6"/>
      <c r="U622" s="6"/>
      <c r="V622" s="6"/>
      <c r="W622" s="6"/>
    </row>
    <row r="623">
      <c r="T623" s="6"/>
      <c r="U623" s="6"/>
      <c r="V623" s="6"/>
      <c r="W623" s="6"/>
    </row>
    <row r="624">
      <c r="T624" s="6"/>
      <c r="U624" s="6"/>
      <c r="V624" s="6"/>
      <c r="W624" s="6"/>
    </row>
    <row r="625">
      <c r="T625" s="6"/>
      <c r="U625" s="6"/>
      <c r="V625" s="6"/>
      <c r="W625" s="6"/>
    </row>
    <row r="626">
      <c r="T626" s="6"/>
      <c r="U626" s="6"/>
      <c r="V626" s="6"/>
      <c r="W626" s="6"/>
    </row>
    <row r="627">
      <c r="T627" s="6"/>
      <c r="U627" s="6"/>
      <c r="V627" s="6"/>
      <c r="W627" s="6"/>
    </row>
    <row r="628">
      <c r="T628" s="6"/>
      <c r="U628" s="6"/>
      <c r="V628" s="6"/>
      <c r="W628" s="6"/>
    </row>
    <row r="629">
      <c r="T629" s="6"/>
      <c r="U629" s="6"/>
      <c r="V629" s="6"/>
      <c r="W629" s="6"/>
    </row>
    <row r="630">
      <c r="T630" s="6"/>
      <c r="U630" s="6"/>
      <c r="V630" s="6"/>
      <c r="W630" s="6"/>
    </row>
    <row r="631">
      <c r="T631" s="6"/>
      <c r="U631" s="6"/>
      <c r="V631" s="6"/>
      <c r="W631" s="6"/>
    </row>
    <row r="632">
      <c r="T632" s="6"/>
      <c r="U632" s="6"/>
      <c r="V632" s="6"/>
      <c r="W632" s="6"/>
    </row>
    <row r="633">
      <c r="T633" s="6"/>
      <c r="U633" s="6"/>
      <c r="V633" s="6"/>
      <c r="W633" s="6"/>
    </row>
    <row r="634">
      <c r="T634" s="6"/>
      <c r="U634" s="6"/>
      <c r="V634" s="6"/>
      <c r="W634" s="6"/>
    </row>
    <row r="635">
      <c r="T635" s="6"/>
      <c r="U635" s="6"/>
      <c r="V635" s="6"/>
      <c r="W635" s="6"/>
    </row>
    <row r="636">
      <c r="T636" s="6"/>
      <c r="U636" s="6"/>
      <c r="V636" s="6"/>
      <c r="W636" s="6"/>
    </row>
    <row r="637">
      <c r="T637" s="6"/>
      <c r="U637" s="6"/>
      <c r="V637" s="6"/>
      <c r="W637" s="6"/>
    </row>
    <row r="638">
      <c r="T638" s="6"/>
      <c r="U638" s="6"/>
      <c r="V638" s="6"/>
      <c r="W638" s="6"/>
    </row>
    <row r="639">
      <c r="T639" s="6"/>
      <c r="U639" s="6"/>
      <c r="V639" s="6"/>
      <c r="W639" s="6"/>
    </row>
    <row r="640">
      <c r="T640" s="6"/>
      <c r="U640" s="6"/>
      <c r="V640" s="6"/>
      <c r="W640" s="6"/>
    </row>
    <row r="641">
      <c r="T641" s="6"/>
      <c r="U641" s="6"/>
      <c r="V641" s="6"/>
      <c r="W641" s="6"/>
    </row>
    <row r="642">
      <c r="T642" s="6"/>
      <c r="U642" s="6"/>
      <c r="V642" s="6"/>
      <c r="W642" s="6"/>
    </row>
    <row r="643">
      <c r="T643" s="6"/>
      <c r="U643" s="6"/>
      <c r="V643" s="6"/>
      <c r="W643" s="6"/>
    </row>
    <row r="644">
      <c r="T644" s="6"/>
      <c r="U644" s="6"/>
      <c r="V644" s="6"/>
      <c r="W644" s="6"/>
    </row>
    <row r="645">
      <c r="T645" s="6"/>
      <c r="U645" s="6"/>
      <c r="V645" s="6"/>
      <c r="W645" s="6"/>
    </row>
    <row r="646">
      <c r="T646" s="6"/>
      <c r="U646" s="6"/>
      <c r="V646" s="6"/>
      <c r="W646" s="6"/>
    </row>
    <row r="647">
      <c r="T647" s="6"/>
      <c r="U647" s="6"/>
      <c r="V647" s="6"/>
      <c r="W647" s="6"/>
    </row>
    <row r="648">
      <c r="T648" s="6"/>
      <c r="U648" s="6"/>
      <c r="V648" s="6"/>
      <c r="W648" s="6"/>
    </row>
    <row r="649">
      <c r="T649" s="6"/>
      <c r="U649" s="6"/>
      <c r="V649" s="6"/>
      <c r="W649" s="6"/>
    </row>
    <row r="650">
      <c r="T650" s="6"/>
      <c r="U650" s="6"/>
      <c r="V650" s="6"/>
      <c r="W650" s="6"/>
    </row>
    <row r="651">
      <c r="T651" s="6"/>
      <c r="U651" s="6"/>
      <c r="V651" s="6"/>
      <c r="W651" s="6"/>
    </row>
    <row r="652">
      <c r="T652" s="6"/>
      <c r="U652" s="6"/>
      <c r="V652" s="6"/>
      <c r="W652" s="6"/>
    </row>
    <row r="653">
      <c r="T653" s="6"/>
      <c r="U653" s="6"/>
      <c r="V653" s="6"/>
      <c r="W653" s="6"/>
    </row>
    <row r="654">
      <c r="T654" s="6"/>
      <c r="U654" s="6"/>
      <c r="V654" s="6"/>
      <c r="W654" s="6"/>
    </row>
    <row r="655">
      <c r="T655" s="6"/>
      <c r="U655" s="6"/>
      <c r="V655" s="6"/>
      <c r="W655" s="6"/>
    </row>
    <row r="656">
      <c r="T656" s="6"/>
      <c r="U656" s="6"/>
      <c r="V656" s="6"/>
      <c r="W656" s="6"/>
    </row>
    <row r="657">
      <c r="T657" s="6"/>
      <c r="U657" s="6"/>
      <c r="V657" s="6"/>
      <c r="W657" s="6"/>
    </row>
    <row r="658">
      <c r="T658" s="6"/>
      <c r="U658" s="6"/>
      <c r="V658" s="6"/>
      <c r="W658" s="6"/>
    </row>
    <row r="659">
      <c r="T659" s="6"/>
      <c r="U659" s="6"/>
      <c r="V659" s="6"/>
      <c r="W659" s="6"/>
    </row>
    <row r="660">
      <c r="T660" s="6"/>
      <c r="U660" s="6"/>
      <c r="V660" s="6"/>
      <c r="W660" s="6"/>
    </row>
    <row r="661">
      <c r="T661" s="6"/>
      <c r="U661" s="6"/>
      <c r="V661" s="6"/>
      <c r="W661" s="6"/>
    </row>
    <row r="662">
      <c r="T662" s="6"/>
      <c r="U662" s="6"/>
      <c r="V662" s="6"/>
      <c r="W662" s="6"/>
    </row>
    <row r="663">
      <c r="T663" s="6"/>
      <c r="U663" s="6"/>
      <c r="V663" s="6"/>
      <c r="W663" s="6"/>
    </row>
    <row r="664">
      <c r="T664" s="6"/>
      <c r="U664" s="6"/>
      <c r="V664" s="6"/>
      <c r="W664" s="6"/>
    </row>
    <row r="665">
      <c r="T665" s="6"/>
      <c r="U665" s="6"/>
      <c r="V665" s="6"/>
      <c r="W665" s="6"/>
    </row>
    <row r="666">
      <c r="T666" s="6"/>
      <c r="U666" s="6"/>
      <c r="V666" s="6"/>
      <c r="W666" s="6"/>
    </row>
    <row r="667">
      <c r="T667" s="6"/>
      <c r="U667" s="6"/>
      <c r="V667" s="6"/>
      <c r="W667" s="6"/>
    </row>
    <row r="668">
      <c r="T668" s="6"/>
      <c r="U668" s="6"/>
      <c r="V668" s="6"/>
      <c r="W668" s="6"/>
    </row>
    <row r="669">
      <c r="T669" s="6"/>
      <c r="U669" s="6"/>
      <c r="V669" s="6"/>
      <c r="W669" s="6"/>
    </row>
    <row r="670">
      <c r="T670" s="6"/>
      <c r="U670" s="6"/>
      <c r="V670" s="6"/>
      <c r="W670" s="6"/>
    </row>
    <row r="671">
      <c r="T671" s="6"/>
      <c r="U671" s="6"/>
      <c r="V671" s="6"/>
      <c r="W671" s="6"/>
    </row>
    <row r="672">
      <c r="T672" s="6"/>
      <c r="U672" s="6"/>
      <c r="V672" s="6"/>
      <c r="W672" s="6"/>
    </row>
    <row r="673">
      <c r="T673" s="6"/>
      <c r="U673" s="6"/>
      <c r="V673" s="6"/>
      <c r="W673" s="6"/>
    </row>
    <row r="674">
      <c r="T674" s="6"/>
      <c r="U674" s="6"/>
      <c r="V674" s="6"/>
      <c r="W674" s="6"/>
    </row>
    <row r="675">
      <c r="T675" s="6"/>
      <c r="U675" s="6"/>
      <c r="V675" s="6"/>
      <c r="W675" s="6"/>
    </row>
    <row r="676">
      <c r="T676" s="6"/>
      <c r="U676" s="6"/>
      <c r="V676" s="6"/>
      <c r="W676" s="6"/>
    </row>
    <row r="677">
      <c r="T677" s="6"/>
      <c r="U677" s="6"/>
      <c r="V677" s="6"/>
      <c r="W677" s="6"/>
    </row>
    <row r="678">
      <c r="T678" s="6"/>
      <c r="U678" s="6"/>
      <c r="V678" s="6"/>
      <c r="W678" s="6"/>
    </row>
    <row r="679">
      <c r="T679" s="6"/>
      <c r="U679" s="6"/>
      <c r="V679" s="6"/>
      <c r="W679" s="6"/>
    </row>
    <row r="680">
      <c r="T680" s="6"/>
      <c r="U680" s="6"/>
      <c r="V680" s="6"/>
      <c r="W680" s="6"/>
    </row>
    <row r="681">
      <c r="T681" s="6"/>
      <c r="U681" s="6"/>
      <c r="V681" s="6"/>
      <c r="W681" s="6"/>
    </row>
    <row r="682">
      <c r="T682" s="6"/>
      <c r="U682" s="6"/>
      <c r="V682" s="6"/>
      <c r="W682" s="6"/>
    </row>
    <row r="683">
      <c r="T683" s="6"/>
      <c r="U683" s="6"/>
      <c r="V683" s="6"/>
      <c r="W683" s="6"/>
    </row>
    <row r="684">
      <c r="T684" s="6"/>
      <c r="U684" s="6"/>
      <c r="V684" s="6"/>
      <c r="W684" s="6"/>
    </row>
    <row r="685">
      <c r="T685" s="6"/>
      <c r="U685" s="6"/>
      <c r="V685" s="6"/>
      <c r="W685" s="6"/>
    </row>
    <row r="686">
      <c r="T686" s="6"/>
      <c r="U686" s="6"/>
      <c r="V686" s="6"/>
      <c r="W686" s="6"/>
    </row>
    <row r="687">
      <c r="T687" s="6"/>
      <c r="U687" s="6"/>
      <c r="V687" s="6"/>
      <c r="W687" s="6"/>
    </row>
    <row r="688">
      <c r="T688" s="6"/>
      <c r="U688" s="6"/>
      <c r="V688" s="6"/>
      <c r="W688" s="6"/>
    </row>
    <row r="689">
      <c r="T689" s="6"/>
      <c r="U689" s="6"/>
      <c r="V689" s="6"/>
      <c r="W689" s="6"/>
    </row>
    <row r="690">
      <c r="T690" s="6"/>
      <c r="U690" s="6"/>
      <c r="V690" s="6"/>
      <c r="W690" s="6"/>
    </row>
    <row r="691">
      <c r="T691" s="6"/>
      <c r="U691" s="6"/>
      <c r="V691" s="6"/>
      <c r="W691" s="6"/>
    </row>
    <row r="692">
      <c r="T692" s="6"/>
      <c r="U692" s="6"/>
      <c r="V692" s="6"/>
      <c r="W692" s="6"/>
    </row>
    <row r="693">
      <c r="T693" s="6"/>
      <c r="U693" s="6"/>
      <c r="V693" s="6"/>
      <c r="W693" s="6"/>
    </row>
    <row r="694">
      <c r="T694" s="6"/>
      <c r="U694" s="6"/>
      <c r="V694" s="6"/>
      <c r="W694" s="6"/>
    </row>
    <row r="695">
      <c r="T695" s="6"/>
      <c r="U695" s="6"/>
      <c r="V695" s="6"/>
      <c r="W695" s="6"/>
    </row>
    <row r="696">
      <c r="T696" s="6"/>
      <c r="U696" s="6"/>
      <c r="V696" s="6"/>
      <c r="W696" s="6"/>
    </row>
    <row r="697">
      <c r="T697" s="6"/>
      <c r="U697" s="6"/>
      <c r="V697" s="6"/>
      <c r="W697" s="6"/>
    </row>
    <row r="698">
      <c r="T698" s="6"/>
      <c r="U698" s="6"/>
      <c r="V698" s="6"/>
      <c r="W698" s="6"/>
    </row>
    <row r="699">
      <c r="T699" s="6"/>
      <c r="U699" s="6"/>
      <c r="V699" s="6"/>
      <c r="W699" s="6"/>
    </row>
    <row r="700">
      <c r="T700" s="6"/>
      <c r="U700" s="6"/>
      <c r="V700" s="6"/>
      <c r="W700" s="6"/>
    </row>
    <row r="701">
      <c r="T701" s="6"/>
      <c r="U701" s="6"/>
      <c r="V701" s="6"/>
      <c r="W701" s="6"/>
    </row>
    <row r="702">
      <c r="T702" s="6"/>
      <c r="U702" s="6"/>
      <c r="V702" s="6"/>
      <c r="W702" s="6"/>
    </row>
    <row r="703">
      <c r="T703" s="6"/>
      <c r="U703" s="6"/>
      <c r="V703" s="6"/>
      <c r="W703" s="6"/>
    </row>
    <row r="704">
      <c r="T704" s="6"/>
      <c r="U704" s="6"/>
      <c r="V704" s="6"/>
      <c r="W704" s="6"/>
    </row>
    <row r="705">
      <c r="T705" s="6"/>
      <c r="U705" s="6"/>
      <c r="V705" s="6"/>
      <c r="W705" s="6"/>
    </row>
    <row r="706">
      <c r="T706" s="6"/>
      <c r="U706" s="6"/>
      <c r="V706" s="6"/>
      <c r="W706" s="6"/>
    </row>
    <row r="707">
      <c r="T707" s="6"/>
      <c r="U707" s="6"/>
      <c r="V707" s="6"/>
      <c r="W707" s="6"/>
    </row>
    <row r="708">
      <c r="T708" s="6"/>
      <c r="U708" s="6"/>
      <c r="V708" s="6"/>
      <c r="W708" s="6"/>
    </row>
    <row r="709">
      <c r="T709" s="6"/>
      <c r="U709" s="6"/>
      <c r="V709" s="6"/>
      <c r="W709" s="6"/>
    </row>
    <row r="710">
      <c r="T710" s="6"/>
      <c r="U710" s="6"/>
      <c r="V710" s="6"/>
      <c r="W710" s="6"/>
    </row>
    <row r="711">
      <c r="T711" s="6"/>
      <c r="U711" s="6"/>
      <c r="V711" s="6"/>
      <c r="W711" s="6"/>
    </row>
    <row r="712">
      <c r="T712" s="6"/>
      <c r="U712" s="6"/>
      <c r="V712" s="6"/>
      <c r="W712" s="6"/>
    </row>
    <row r="713">
      <c r="T713" s="6"/>
      <c r="U713" s="6"/>
      <c r="V713" s="6"/>
      <c r="W713" s="6"/>
    </row>
    <row r="714">
      <c r="T714" s="6"/>
      <c r="U714" s="6"/>
      <c r="V714" s="6"/>
      <c r="W714" s="6"/>
    </row>
    <row r="715">
      <c r="T715" s="6"/>
      <c r="U715" s="6"/>
      <c r="V715" s="6"/>
      <c r="W715" s="6"/>
    </row>
    <row r="716">
      <c r="T716" s="6"/>
      <c r="U716" s="6"/>
      <c r="V716" s="6"/>
      <c r="W716" s="6"/>
    </row>
    <row r="717">
      <c r="T717" s="6"/>
      <c r="U717" s="6"/>
      <c r="V717" s="6"/>
      <c r="W717" s="6"/>
    </row>
    <row r="718">
      <c r="T718" s="6"/>
      <c r="U718" s="6"/>
      <c r="V718" s="6"/>
      <c r="W718" s="6"/>
    </row>
    <row r="719">
      <c r="T719" s="6"/>
      <c r="U719" s="6"/>
      <c r="V719" s="6"/>
      <c r="W719" s="6"/>
    </row>
    <row r="720">
      <c r="T720" s="6"/>
      <c r="U720" s="6"/>
      <c r="V720" s="6"/>
      <c r="W720" s="6"/>
    </row>
    <row r="721">
      <c r="T721" s="6"/>
      <c r="U721" s="6"/>
      <c r="V721" s="6"/>
      <c r="W721" s="6"/>
    </row>
    <row r="722">
      <c r="T722" s="6"/>
      <c r="U722" s="6"/>
      <c r="V722" s="6"/>
      <c r="W722" s="6"/>
    </row>
    <row r="723">
      <c r="T723" s="6"/>
      <c r="U723" s="6"/>
      <c r="V723" s="6"/>
      <c r="W723" s="6"/>
    </row>
    <row r="724">
      <c r="T724" s="6"/>
      <c r="U724" s="6"/>
      <c r="V724" s="6"/>
      <c r="W724" s="6"/>
    </row>
    <row r="725">
      <c r="T725" s="6"/>
      <c r="U725" s="6"/>
      <c r="V725" s="6"/>
      <c r="W725" s="6"/>
    </row>
    <row r="726">
      <c r="T726" s="6"/>
      <c r="U726" s="6"/>
      <c r="V726" s="6"/>
      <c r="W726" s="6"/>
    </row>
    <row r="727">
      <c r="T727" s="6"/>
      <c r="U727" s="6"/>
      <c r="V727" s="6"/>
      <c r="W727" s="6"/>
    </row>
    <row r="728">
      <c r="T728" s="6"/>
      <c r="U728" s="6"/>
      <c r="V728" s="6"/>
      <c r="W728" s="6"/>
    </row>
    <row r="729">
      <c r="T729" s="6"/>
      <c r="U729" s="6"/>
      <c r="V729" s="6"/>
      <c r="W729" s="6"/>
    </row>
    <row r="730">
      <c r="T730" s="6"/>
      <c r="U730" s="6"/>
      <c r="V730" s="6"/>
      <c r="W730" s="6"/>
    </row>
    <row r="731">
      <c r="T731" s="6"/>
      <c r="U731" s="6"/>
      <c r="V731" s="6"/>
      <c r="W731" s="6"/>
    </row>
    <row r="732">
      <c r="T732" s="6"/>
      <c r="U732" s="6"/>
      <c r="V732" s="6"/>
      <c r="W732" s="6"/>
    </row>
    <row r="733">
      <c r="T733" s="6"/>
      <c r="U733" s="6"/>
      <c r="V733" s="6"/>
      <c r="W733" s="6"/>
    </row>
    <row r="734">
      <c r="T734" s="6"/>
      <c r="U734" s="6"/>
      <c r="V734" s="6"/>
      <c r="W734" s="6"/>
    </row>
    <row r="735">
      <c r="T735" s="6"/>
      <c r="U735" s="6"/>
      <c r="V735" s="6"/>
      <c r="W735" s="6"/>
    </row>
    <row r="736">
      <c r="T736" s="6"/>
      <c r="U736" s="6"/>
      <c r="V736" s="6"/>
      <c r="W736" s="6"/>
    </row>
    <row r="737">
      <c r="T737" s="6"/>
      <c r="U737" s="6"/>
      <c r="V737" s="6"/>
      <c r="W737" s="6"/>
    </row>
    <row r="738">
      <c r="T738" s="6"/>
      <c r="U738" s="6"/>
      <c r="V738" s="6"/>
      <c r="W738" s="6"/>
    </row>
    <row r="739">
      <c r="T739" s="6"/>
      <c r="U739" s="6"/>
      <c r="V739" s="6"/>
      <c r="W739" s="6"/>
    </row>
    <row r="740">
      <c r="T740" s="6"/>
      <c r="U740" s="6"/>
      <c r="V740" s="6"/>
      <c r="W740" s="6"/>
    </row>
    <row r="741">
      <c r="T741" s="6"/>
      <c r="U741" s="6"/>
      <c r="V741" s="6"/>
      <c r="W741" s="6"/>
    </row>
    <row r="742">
      <c r="T742" s="6"/>
      <c r="U742" s="6"/>
      <c r="V742" s="6"/>
      <c r="W742" s="6"/>
    </row>
    <row r="743">
      <c r="T743" s="6"/>
      <c r="U743" s="6"/>
      <c r="V743" s="6"/>
      <c r="W743" s="6"/>
    </row>
    <row r="744">
      <c r="T744" s="6"/>
      <c r="U744" s="6"/>
      <c r="V744" s="6"/>
      <c r="W744" s="6"/>
    </row>
    <row r="745">
      <c r="T745" s="6"/>
      <c r="U745" s="6"/>
      <c r="V745" s="6"/>
      <c r="W745" s="6"/>
    </row>
    <row r="746">
      <c r="T746" s="6"/>
      <c r="U746" s="6"/>
      <c r="V746" s="6"/>
      <c r="W746" s="6"/>
    </row>
    <row r="747">
      <c r="T747" s="6"/>
      <c r="U747" s="6"/>
      <c r="V747" s="6"/>
      <c r="W747" s="6"/>
    </row>
    <row r="748">
      <c r="T748" s="6"/>
      <c r="U748" s="6"/>
      <c r="V748" s="6"/>
      <c r="W748" s="6"/>
    </row>
    <row r="749">
      <c r="T749" s="6"/>
      <c r="U749" s="6"/>
      <c r="V749" s="6"/>
      <c r="W749" s="6"/>
    </row>
    <row r="750">
      <c r="T750" s="6"/>
      <c r="U750" s="6"/>
      <c r="V750" s="6"/>
      <c r="W750" s="6"/>
    </row>
    <row r="751">
      <c r="T751" s="6"/>
      <c r="U751" s="6"/>
      <c r="V751" s="6"/>
      <c r="W751" s="6"/>
    </row>
    <row r="752">
      <c r="T752" s="6"/>
      <c r="U752" s="6"/>
      <c r="V752" s="6"/>
      <c r="W752" s="6"/>
    </row>
    <row r="753">
      <c r="T753" s="6"/>
      <c r="U753" s="6"/>
      <c r="V753" s="6"/>
      <c r="W753" s="6"/>
    </row>
    <row r="754">
      <c r="T754" s="6"/>
      <c r="U754" s="6"/>
      <c r="V754" s="6"/>
      <c r="W754" s="6"/>
    </row>
    <row r="755">
      <c r="T755" s="6"/>
      <c r="U755" s="6"/>
      <c r="V755" s="6"/>
      <c r="W755" s="6"/>
    </row>
    <row r="756">
      <c r="T756" s="6"/>
      <c r="U756" s="6"/>
      <c r="V756" s="6"/>
      <c r="W756" s="6"/>
    </row>
    <row r="757">
      <c r="T757" s="6"/>
      <c r="U757" s="6"/>
      <c r="V757" s="6"/>
      <c r="W757" s="6"/>
    </row>
    <row r="758">
      <c r="T758" s="6"/>
      <c r="U758" s="6"/>
      <c r="V758" s="6"/>
      <c r="W758" s="6"/>
    </row>
    <row r="759">
      <c r="T759" s="6"/>
      <c r="U759" s="6"/>
      <c r="V759" s="6"/>
      <c r="W759" s="6"/>
    </row>
    <row r="760">
      <c r="T760" s="6"/>
      <c r="U760" s="6"/>
      <c r="V760" s="6"/>
      <c r="W760" s="6"/>
    </row>
    <row r="761">
      <c r="T761" s="6"/>
      <c r="U761" s="6"/>
      <c r="V761" s="6"/>
      <c r="W761" s="6"/>
    </row>
    <row r="762">
      <c r="T762" s="6"/>
      <c r="U762" s="6"/>
      <c r="V762" s="6"/>
      <c r="W762" s="6"/>
    </row>
    <row r="763">
      <c r="T763" s="6"/>
      <c r="U763" s="6"/>
      <c r="V763" s="6"/>
      <c r="W763" s="6"/>
    </row>
    <row r="764">
      <c r="T764" s="6"/>
      <c r="U764" s="6"/>
      <c r="V764" s="6"/>
      <c r="W764" s="6"/>
    </row>
    <row r="765">
      <c r="T765" s="6"/>
      <c r="U765" s="6"/>
      <c r="V765" s="6"/>
      <c r="W765" s="6"/>
    </row>
    <row r="766">
      <c r="T766" s="6"/>
      <c r="U766" s="6"/>
      <c r="V766" s="6"/>
      <c r="W766" s="6"/>
    </row>
    <row r="767">
      <c r="T767" s="6"/>
      <c r="U767" s="6"/>
      <c r="V767" s="6"/>
      <c r="W767" s="6"/>
    </row>
    <row r="768">
      <c r="T768" s="6"/>
      <c r="U768" s="6"/>
      <c r="V768" s="6"/>
      <c r="W768" s="6"/>
    </row>
    <row r="769">
      <c r="T769" s="6"/>
      <c r="U769" s="6"/>
      <c r="V769" s="6"/>
      <c r="W769" s="6"/>
    </row>
    <row r="770">
      <c r="T770" s="6"/>
      <c r="U770" s="6"/>
      <c r="V770" s="6"/>
      <c r="W770" s="6"/>
    </row>
    <row r="771">
      <c r="T771" s="6"/>
      <c r="U771" s="6"/>
      <c r="V771" s="6"/>
      <c r="W771" s="6"/>
    </row>
    <row r="772">
      <c r="T772" s="6"/>
      <c r="U772" s="6"/>
      <c r="V772" s="6"/>
      <c r="W772" s="6"/>
    </row>
    <row r="773">
      <c r="T773" s="6"/>
      <c r="U773" s="6"/>
      <c r="V773" s="6"/>
      <c r="W773" s="6"/>
    </row>
    <row r="774">
      <c r="T774" s="6"/>
      <c r="U774" s="6"/>
      <c r="V774" s="6"/>
      <c r="W774" s="6"/>
    </row>
    <row r="775">
      <c r="T775" s="6"/>
      <c r="U775" s="6"/>
      <c r="V775" s="6"/>
      <c r="W775" s="6"/>
    </row>
    <row r="776">
      <c r="T776" s="6"/>
      <c r="U776" s="6"/>
      <c r="V776" s="6"/>
      <c r="W776" s="6"/>
    </row>
    <row r="777">
      <c r="T777" s="6"/>
      <c r="U777" s="6"/>
      <c r="V777" s="6"/>
      <c r="W777" s="6"/>
    </row>
    <row r="778">
      <c r="T778" s="6"/>
      <c r="U778" s="6"/>
      <c r="V778" s="6"/>
      <c r="W778" s="6"/>
    </row>
    <row r="779">
      <c r="T779" s="6"/>
      <c r="U779" s="6"/>
      <c r="V779" s="6"/>
      <c r="W779" s="6"/>
    </row>
    <row r="780">
      <c r="T780" s="6"/>
      <c r="U780" s="6"/>
      <c r="V780" s="6"/>
      <c r="W780" s="6"/>
    </row>
    <row r="781">
      <c r="T781" s="6"/>
      <c r="U781" s="6"/>
      <c r="V781" s="6"/>
      <c r="W781" s="6"/>
    </row>
    <row r="782">
      <c r="T782" s="6"/>
      <c r="U782" s="6"/>
      <c r="V782" s="6"/>
      <c r="W782" s="6"/>
    </row>
    <row r="783">
      <c r="T783" s="6"/>
      <c r="U783" s="6"/>
      <c r="V783" s="6"/>
      <c r="W783" s="6"/>
    </row>
    <row r="784">
      <c r="T784" s="6"/>
      <c r="U784" s="6"/>
      <c r="V784" s="6"/>
      <c r="W784" s="6"/>
    </row>
    <row r="785">
      <c r="T785" s="6"/>
      <c r="U785" s="6"/>
      <c r="V785" s="6"/>
      <c r="W785" s="6"/>
    </row>
    <row r="786">
      <c r="T786" s="6"/>
      <c r="U786" s="6"/>
      <c r="V786" s="6"/>
      <c r="W786" s="6"/>
    </row>
    <row r="787">
      <c r="T787" s="6"/>
      <c r="U787" s="6"/>
      <c r="V787" s="6"/>
      <c r="W787" s="6"/>
    </row>
    <row r="788">
      <c r="T788" s="6"/>
      <c r="U788" s="6"/>
      <c r="V788" s="6"/>
      <c r="W788" s="6"/>
    </row>
    <row r="789">
      <c r="T789" s="6"/>
      <c r="U789" s="6"/>
      <c r="V789" s="6"/>
      <c r="W789" s="6"/>
    </row>
    <row r="790">
      <c r="T790" s="6"/>
      <c r="U790" s="6"/>
      <c r="V790" s="6"/>
      <c r="W790" s="6"/>
    </row>
    <row r="791">
      <c r="T791" s="6"/>
      <c r="U791" s="6"/>
      <c r="V791" s="6"/>
      <c r="W791" s="6"/>
    </row>
    <row r="792">
      <c r="T792" s="6"/>
      <c r="U792" s="6"/>
      <c r="V792" s="6"/>
      <c r="W792" s="6"/>
    </row>
    <row r="793">
      <c r="T793" s="6"/>
      <c r="U793" s="6"/>
      <c r="V793" s="6"/>
      <c r="W793" s="6"/>
    </row>
    <row r="794">
      <c r="T794" s="6"/>
      <c r="U794" s="6"/>
      <c r="V794" s="6"/>
      <c r="W794" s="6"/>
    </row>
    <row r="795">
      <c r="T795" s="6"/>
      <c r="U795" s="6"/>
      <c r="V795" s="6"/>
      <c r="W795" s="6"/>
    </row>
    <row r="796">
      <c r="T796" s="6"/>
      <c r="U796" s="6"/>
      <c r="V796" s="6"/>
      <c r="W796" s="6"/>
    </row>
    <row r="797">
      <c r="T797" s="6"/>
      <c r="U797" s="6"/>
      <c r="V797" s="6"/>
      <c r="W797" s="6"/>
    </row>
    <row r="798">
      <c r="T798" s="6"/>
      <c r="U798" s="6"/>
      <c r="V798" s="6"/>
      <c r="W798" s="6"/>
    </row>
    <row r="799">
      <c r="T799" s="6"/>
      <c r="U799" s="6"/>
      <c r="V799" s="6"/>
      <c r="W799" s="6"/>
    </row>
    <row r="800">
      <c r="T800" s="6"/>
      <c r="U800" s="6"/>
      <c r="V800" s="6"/>
      <c r="W800" s="6"/>
    </row>
    <row r="801">
      <c r="T801" s="6"/>
      <c r="U801" s="6"/>
      <c r="V801" s="6"/>
      <c r="W801" s="6"/>
    </row>
    <row r="802">
      <c r="T802" s="6"/>
      <c r="U802" s="6"/>
      <c r="V802" s="6"/>
      <c r="W802" s="6"/>
    </row>
    <row r="803">
      <c r="T803" s="6"/>
      <c r="U803" s="6"/>
      <c r="V803" s="6"/>
      <c r="W803" s="6"/>
    </row>
    <row r="804">
      <c r="T804" s="6"/>
      <c r="U804" s="6"/>
      <c r="V804" s="6"/>
      <c r="W804" s="6"/>
    </row>
    <row r="805">
      <c r="T805" s="6"/>
      <c r="U805" s="6"/>
      <c r="V805" s="6"/>
      <c r="W805" s="6"/>
    </row>
    <row r="806">
      <c r="T806" s="6"/>
      <c r="U806" s="6"/>
      <c r="V806" s="6"/>
      <c r="W806" s="6"/>
    </row>
    <row r="807">
      <c r="T807" s="6"/>
      <c r="U807" s="6"/>
      <c r="V807" s="6"/>
      <c r="W807" s="6"/>
    </row>
    <row r="808">
      <c r="T808" s="6"/>
      <c r="U808" s="6"/>
      <c r="V808" s="6"/>
      <c r="W808" s="6"/>
    </row>
    <row r="809">
      <c r="T809" s="6"/>
      <c r="U809" s="6"/>
      <c r="V809" s="6"/>
      <c r="W809" s="6"/>
    </row>
    <row r="810">
      <c r="T810" s="6"/>
      <c r="U810" s="6"/>
      <c r="V810" s="6"/>
      <c r="W810" s="6"/>
    </row>
    <row r="811">
      <c r="T811" s="6"/>
      <c r="U811" s="6"/>
      <c r="V811" s="6"/>
      <c r="W811" s="6"/>
    </row>
    <row r="812">
      <c r="T812" s="6"/>
      <c r="U812" s="6"/>
      <c r="V812" s="6"/>
      <c r="W812" s="6"/>
    </row>
    <row r="813">
      <c r="T813" s="6"/>
      <c r="U813" s="6"/>
      <c r="V813" s="6"/>
      <c r="W813" s="6"/>
    </row>
    <row r="814">
      <c r="T814" s="6"/>
      <c r="U814" s="6"/>
      <c r="V814" s="6"/>
      <c r="W814" s="6"/>
    </row>
    <row r="815">
      <c r="T815" s="6"/>
      <c r="U815" s="6"/>
      <c r="V815" s="6"/>
      <c r="W815" s="6"/>
    </row>
    <row r="816">
      <c r="T816" s="6"/>
      <c r="U816" s="6"/>
      <c r="V816" s="6"/>
      <c r="W816" s="6"/>
    </row>
    <row r="817">
      <c r="T817" s="6"/>
      <c r="U817" s="6"/>
      <c r="V817" s="6"/>
      <c r="W817" s="6"/>
    </row>
    <row r="818">
      <c r="T818" s="6"/>
      <c r="U818" s="6"/>
      <c r="V818" s="6"/>
      <c r="W818" s="6"/>
    </row>
    <row r="819">
      <c r="T819" s="6"/>
      <c r="U819" s="6"/>
      <c r="V819" s="6"/>
      <c r="W819" s="6"/>
    </row>
    <row r="820">
      <c r="T820" s="6"/>
      <c r="U820" s="6"/>
      <c r="V820" s="6"/>
      <c r="W820" s="6"/>
    </row>
    <row r="821">
      <c r="T821" s="6"/>
      <c r="U821" s="6"/>
      <c r="V821" s="6"/>
      <c r="W821" s="6"/>
    </row>
    <row r="822">
      <c r="T822" s="6"/>
      <c r="U822" s="6"/>
      <c r="V822" s="6"/>
      <c r="W822" s="6"/>
    </row>
    <row r="823">
      <c r="T823" s="6"/>
      <c r="U823" s="6"/>
      <c r="V823" s="6"/>
      <c r="W823" s="6"/>
    </row>
    <row r="824">
      <c r="T824" s="6"/>
      <c r="U824" s="6"/>
      <c r="V824" s="6"/>
      <c r="W824" s="6"/>
    </row>
    <row r="825">
      <c r="T825" s="6"/>
      <c r="U825" s="6"/>
      <c r="V825" s="6"/>
      <c r="W825" s="6"/>
    </row>
    <row r="826">
      <c r="T826" s="6"/>
      <c r="U826" s="6"/>
      <c r="V826" s="6"/>
      <c r="W826" s="6"/>
    </row>
    <row r="827">
      <c r="T827" s="6"/>
      <c r="U827" s="6"/>
      <c r="V827" s="6"/>
      <c r="W827" s="6"/>
    </row>
    <row r="828">
      <c r="T828" s="6"/>
      <c r="U828" s="6"/>
      <c r="V828" s="6"/>
      <c r="W828" s="6"/>
    </row>
    <row r="829">
      <c r="T829" s="6"/>
      <c r="U829" s="6"/>
      <c r="V829" s="6"/>
      <c r="W829" s="6"/>
    </row>
    <row r="830">
      <c r="T830" s="6"/>
      <c r="U830" s="6"/>
      <c r="V830" s="6"/>
      <c r="W830" s="6"/>
    </row>
    <row r="831">
      <c r="T831" s="6"/>
      <c r="U831" s="6"/>
      <c r="V831" s="6"/>
      <c r="W831" s="6"/>
    </row>
    <row r="832">
      <c r="T832" s="6"/>
      <c r="U832" s="6"/>
      <c r="V832" s="6"/>
      <c r="W832" s="6"/>
    </row>
    <row r="833">
      <c r="T833" s="6"/>
      <c r="U833" s="6"/>
      <c r="V833" s="6"/>
      <c r="W833" s="6"/>
    </row>
    <row r="834">
      <c r="T834" s="6"/>
      <c r="U834" s="6"/>
      <c r="V834" s="6"/>
      <c r="W834" s="6"/>
    </row>
    <row r="835">
      <c r="T835" s="6"/>
      <c r="U835" s="6"/>
      <c r="V835" s="6"/>
      <c r="W835" s="6"/>
    </row>
    <row r="836">
      <c r="T836" s="6"/>
      <c r="U836" s="6"/>
      <c r="V836" s="6"/>
      <c r="W836" s="6"/>
    </row>
    <row r="837">
      <c r="T837" s="6"/>
      <c r="U837" s="6"/>
      <c r="V837" s="6"/>
      <c r="W837" s="6"/>
    </row>
    <row r="838">
      <c r="T838" s="6"/>
      <c r="U838" s="6"/>
      <c r="V838" s="6"/>
      <c r="W838" s="6"/>
    </row>
    <row r="839">
      <c r="T839" s="6"/>
      <c r="U839" s="6"/>
      <c r="V839" s="6"/>
      <c r="W839" s="6"/>
    </row>
    <row r="840">
      <c r="T840" s="6"/>
      <c r="U840" s="6"/>
      <c r="V840" s="6"/>
      <c r="W840" s="6"/>
    </row>
    <row r="841">
      <c r="T841" s="6"/>
      <c r="U841" s="6"/>
      <c r="V841" s="6"/>
      <c r="W841" s="6"/>
    </row>
    <row r="842">
      <c r="T842" s="6"/>
      <c r="U842" s="6"/>
      <c r="V842" s="6"/>
      <c r="W842" s="6"/>
    </row>
    <row r="843">
      <c r="T843" s="6"/>
      <c r="U843" s="6"/>
      <c r="V843" s="6"/>
      <c r="W843" s="6"/>
    </row>
    <row r="844">
      <c r="T844" s="6"/>
      <c r="U844" s="6"/>
      <c r="V844" s="6"/>
      <c r="W844" s="6"/>
    </row>
    <row r="845">
      <c r="T845" s="6"/>
      <c r="U845" s="6"/>
      <c r="V845" s="6"/>
      <c r="W845" s="6"/>
    </row>
    <row r="846">
      <c r="T846" s="6"/>
      <c r="U846" s="6"/>
      <c r="V846" s="6"/>
      <c r="W846" s="6"/>
    </row>
    <row r="847">
      <c r="T847" s="6"/>
      <c r="U847" s="6"/>
      <c r="V847" s="6"/>
      <c r="W847" s="6"/>
    </row>
    <row r="848">
      <c r="T848" s="6"/>
      <c r="U848" s="6"/>
      <c r="V848" s="6"/>
      <c r="W848" s="6"/>
    </row>
    <row r="849">
      <c r="T849" s="6"/>
      <c r="U849" s="6"/>
      <c r="V849" s="6"/>
      <c r="W849" s="6"/>
    </row>
    <row r="850">
      <c r="T850" s="6"/>
      <c r="U850" s="6"/>
      <c r="V850" s="6"/>
      <c r="W850" s="6"/>
    </row>
    <row r="851">
      <c r="T851" s="6"/>
      <c r="U851" s="6"/>
      <c r="V851" s="6"/>
      <c r="W851" s="6"/>
    </row>
    <row r="852">
      <c r="T852" s="6"/>
      <c r="U852" s="6"/>
      <c r="V852" s="6"/>
      <c r="W852" s="6"/>
    </row>
    <row r="853">
      <c r="T853" s="6"/>
      <c r="U853" s="6"/>
      <c r="V853" s="6"/>
      <c r="W853" s="6"/>
    </row>
    <row r="854">
      <c r="T854" s="6"/>
      <c r="U854" s="6"/>
      <c r="V854" s="6"/>
      <c r="W854" s="6"/>
    </row>
    <row r="855">
      <c r="T855" s="6"/>
      <c r="U855" s="6"/>
      <c r="V855" s="6"/>
      <c r="W855" s="6"/>
    </row>
    <row r="856">
      <c r="T856" s="6"/>
      <c r="U856" s="6"/>
      <c r="V856" s="6"/>
      <c r="W856" s="6"/>
    </row>
    <row r="857">
      <c r="T857" s="6"/>
      <c r="U857" s="6"/>
      <c r="V857" s="6"/>
      <c r="W857" s="6"/>
    </row>
    <row r="858">
      <c r="T858" s="6"/>
      <c r="U858" s="6"/>
      <c r="V858" s="6"/>
      <c r="W858" s="6"/>
    </row>
    <row r="859">
      <c r="T859" s="6"/>
      <c r="U859" s="6"/>
      <c r="V859" s="6"/>
      <c r="W859" s="6"/>
    </row>
    <row r="860">
      <c r="T860" s="6"/>
      <c r="U860" s="6"/>
      <c r="V860" s="6"/>
      <c r="W860" s="6"/>
    </row>
    <row r="861">
      <c r="T861" s="6"/>
      <c r="U861" s="6"/>
      <c r="V861" s="6"/>
      <c r="W861" s="6"/>
    </row>
    <row r="862">
      <c r="T862" s="6"/>
      <c r="U862" s="6"/>
      <c r="V862" s="6"/>
      <c r="W862" s="6"/>
    </row>
    <row r="863">
      <c r="T863" s="6"/>
      <c r="U863" s="6"/>
      <c r="V863" s="6"/>
      <c r="W863" s="6"/>
    </row>
    <row r="864">
      <c r="T864" s="6"/>
      <c r="U864" s="6"/>
      <c r="V864" s="6"/>
      <c r="W864" s="6"/>
    </row>
    <row r="865">
      <c r="T865" s="6"/>
      <c r="U865" s="6"/>
      <c r="V865" s="6"/>
      <c r="W865" s="6"/>
    </row>
    <row r="866">
      <c r="T866" s="6"/>
      <c r="U866" s="6"/>
      <c r="V866" s="6"/>
      <c r="W866" s="6"/>
    </row>
    <row r="867">
      <c r="T867" s="6"/>
      <c r="U867" s="6"/>
      <c r="V867" s="6"/>
      <c r="W867" s="6"/>
    </row>
    <row r="868">
      <c r="T868" s="6"/>
      <c r="U868" s="6"/>
      <c r="V868" s="6"/>
      <c r="W868" s="6"/>
    </row>
    <row r="869">
      <c r="T869" s="6"/>
      <c r="U869" s="6"/>
      <c r="V869" s="6"/>
      <c r="W869" s="6"/>
    </row>
    <row r="870">
      <c r="T870" s="6"/>
      <c r="U870" s="6"/>
      <c r="V870" s="6"/>
      <c r="W870" s="6"/>
    </row>
    <row r="871">
      <c r="T871" s="6"/>
      <c r="U871" s="6"/>
      <c r="V871" s="6"/>
      <c r="W871" s="6"/>
    </row>
    <row r="872">
      <c r="T872" s="6"/>
      <c r="U872" s="6"/>
      <c r="V872" s="6"/>
      <c r="W872" s="6"/>
    </row>
    <row r="873">
      <c r="T873" s="6"/>
      <c r="U873" s="6"/>
      <c r="V873" s="6"/>
      <c r="W873" s="6"/>
    </row>
    <row r="874">
      <c r="T874" s="6"/>
      <c r="U874" s="6"/>
      <c r="V874" s="6"/>
      <c r="W874" s="6"/>
    </row>
    <row r="875">
      <c r="T875" s="6"/>
      <c r="U875" s="6"/>
      <c r="V875" s="6"/>
      <c r="W875" s="6"/>
    </row>
    <row r="876">
      <c r="T876" s="6"/>
      <c r="U876" s="6"/>
      <c r="V876" s="6"/>
      <c r="W876" s="6"/>
    </row>
    <row r="877">
      <c r="T877" s="6"/>
      <c r="U877" s="6"/>
      <c r="V877" s="6"/>
      <c r="W877" s="6"/>
    </row>
    <row r="878">
      <c r="T878" s="6"/>
      <c r="U878" s="6"/>
      <c r="V878" s="6"/>
      <c r="W878" s="6"/>
    </row>
    <row r="879">
      <c r="T879" s="6"/>
      <c r="U879" s="6"/>
      <c r="V879" s="6"/>
      <c r="W879" s="6"/>
    </row>
    <row r="880">
      <c r="T880" s="6"/>
      <c r="U880" s="6"/>
      <c r="V880" s="6"/>
      <c r="W880" s="6"/>
    </row>
    <row r="881">
      <c r="T881" s="6"/>
      <c r="U881" s="6"/>
      <c r="V881" s="6"/>
      <c r="W881" s="6"/>
    </row>
    <row r="882">
      <c r="T882" s="6"/>
      <c r="U882" s="6"/>
      <c r="V882" s="6"/>
      <c r="W882" s="6"/>
    </row>
    <row r="883">
      <c r="T883" s="6"/>
      <c r="U883" s="6"/>
      <c r="V883" s="6"/>
      <c r="W883" s="6"/>
    </row>
    <row r="884">
      <c r="T884" s="6"/>
      <c r="U884" s="6"/>
      <c r="V884" s="6"/>
      <c r="W884" s="6"/>
    </row>
    <row r="885">
      <c r="T885" s="6"/>
      <c r="U885" s="6"/>
      <c r="V885" s="6"/>
      <c r="W885" s="6"/>
    </row>
    <row r="886">
      <c r="T886" s="6"/>
      <c r="U886" s="6"/>
      <c r="V886" s="6"/>
      <c r="W886" s="6"/>
    </row>
    <row r="887">
      <c r="T887" s="6"/>
      <c r="U887" s="6"/>
      <c r="V887" s="6"/>
      <c r="W887" s="6"/>
    </row>
    <row r="888">
      <c r="T888" s="6"/>
      <c r="U888" s="6"/>
      <c r="V888" s="6"/>
      <c r="W888" s="6"/>
    </row>
    <row r="889">
      <c r="T889" s="6"/>
      <c r="U889" s="6"/>
      <c r="V889" s="6"/>
      <c r="W889" s="6"/>
    </row>
    <row r="890">
      <c r="T890" s="6"/>
      <c r="U890" s="6"/>
      <c r="V890" s="6"/>
      <c r="W890" s="6"/>
    </row>
    <row r="891">
      <c r="T891" s="6"/>
      <c r="U891" s="6"/>
      <c r="V891" s="6"/>
      <c r="W891" s="6"/>
    </row>
    <row r="892">
      <c r="T892" s="6"/>
      <c r="U892" s="6"/>
      <c r="V892" s="6"/>
      <c r="W892" s="6"/>
    </row>
    <row r="893">
      <c r="T893" s="6"/>
      <c r="U893" s="6"/>
      <c r="V893" s="6"/>
      <c r="W893" s="6"/>
    </row>
    <row r="894">
      <c r="T894" s="6"/>
      <c r="U894" s="6"/>
      <c r="V894" s="6"/>
      <c r="W894" s="6"/>
    </row>
    <row r="895">
      <c r="T895" s="6"/>
      <c r="U895" s="6"/>
      <c r="V895" s="6"/>
      <c r="W895" s="6"/>
    </row>
    <row r="896">
      <c r="T896" s="6"/>
      <c r="U896" s="6"/>
      <c r="V896" s="6"/>
      <c r="W896" s="6"/>
    </row>
    <row r="897">
      <c r="T897" s="6"/>
      <c r="U897" s="6"/>
      <c r="V897" s="6"/>
      <c r="W897" s="6"/>
    </row>
    <row r="898">
      <c r="T898" s="6"/>
      <c r="U898" s="6"/>
      <c r="V898" s="6"/>
      <c r="W898" s="6"/>
    </row>
    <row r="899">
      <c r="T899" s="6"/>
      <c r="U899" s="6"/>
      <c r="V899" s="6"/>
      <c r="W899" s="6"/>
    </row>
    <row r="900">
      <c r="T900" s="6"/>
      <c r="U900" s="6"/>
      <c r="V900" s="6"/>
      <c r="W900" s="6"/>
    </row>
    <row r="901">
      <c r="T901" s="6"/>
      <c r="U901" s="6"/>
      <c r="V901" s="6"/>
      <c r="W901" s="6"/>
    </row>
    <row r="902">
      <c r="T902" s="6"/>
      <c r="U902" s="6"/>
      <c r="V902" s="6"/>
      <c r="W902" s="6"/>
    </row>
    <row r="903">
      <c r="T903" s="6"/>
      <c r="U903" s="6"/>
      <c r="V903" s="6"/>
      <c r="W903" s="6"/>
    </row>
    <row r="904">
      <c r="T904" s="6"/>
      <c r="U904" s="6"/>
      <c r="V904" s="6"/>
      <c r="W904" s="6"/>
    </row>
    <row r="905">
      <c r="T905" s="6"/>
      <c r="U905" s="6"/>
      <c r="V905" s="6"/>
      <c r="W905" s="6"/>
    </row>
    <row r="906">
      <c r="T906" s="6"/>
      <c r="U906" s="6"/>
      <c r="V906" s="6"/>
      <c r="W906" s="6"/>
    </row>
    <row r="907">
      <c r="T907" s="6"/>
      <c r="U907" s="6"/>
      <c r="V907" s="6"/>
      <c r="W907" s="6"/>
    </row>
    <row r="908">
      <c r="T908" s="6"/>
      <c r="U908" s="6"/>
      <c r="V908" s="6"/>
      <c r="W908" s="6"/>
    </row>
    <row r="909">
      <c r="T909" s="6"/>
      <c r="U909" s="6"/>
      <c r="V909" s="6"/>
      <c r="W909" s="6"/>
    </row>
    <row r="910">
      <c r="T910" s="6"/>
      <c r="U910" s="6"/>
      <c r="V910" s="6"/>
      <c r="W910" s="6"/>
    </row>
    <row r="911">
      <c r="T911" s="6"/>
      <c r="U911" s="6"/>
      <c r="V911" s="6"/>
      <c r="W911" s="6"/>
    </row>
    <row r="912">
      <c r="T912" s="6"/>
      <c r="U912" s="6"/>
      <c r="V912" s="6"/>
      <c r="W912" s="6"/>
    </row>
    <row r="913">
      <c r="T913" s="6"/>
      <c r="U913" s="6"/>
      <c r="V913" s="6"/>
      <c r="W913" s="6"/>
    </row>
    <row r="914">
      <c r="T914" s="6"/>
      <c r="U914" s="6"/>
      <c r="V914" s="6"/>
      <c r="W914" s="6"/>
    </row>
    <row r="915">
      <c r="T915" s="6"/>
      <c r="U915" s="6"/>
      <c r="V915" s="6"/>
      <c r="W915" s="6"/>
    </row>
    <row r="916">
      <c r="T916" s="6"/>
      <c r="U916" s="6"/>
      <c r="V916" s="6"/>
      <c r="W916" s="6"/>
    </row>
    <row r="917">
      <c r="T917" s="6"/>
      <c r="U917" s="6"/>
      <c r="V917" s="6"/>
      <c r="W917" s="6"/>
    </row>
    <row r="918">
      <c r="T918" s="6"/>
      <c r="U918" s="6"/>
      <c r="V918" s="6"/>
      <c r="W918" s="6"/>
    </row>
    <row r="919">
      <c r="T919" s="6"/>
      <c r="U919" s="6"/>
      <c r="V919" s="6"/>
      <c r="W919" s="6"/>
    </row>
    <row r="920">
      <c r="T920" s="6"/>
      <c r="U920" s="6"/>
      <c r="V920" s="6"/>
      <c r="W920" s="6"/>
    </row>
    <row r="921">
      <c r="T921" s="6"/>
      <c r="U921" s="6"/>
      <c r="V921" s="6"/>
      <c r="W921" s="6"/>
    </row>
    <row r="922">
      <c r="T922" s="6"/>
      <c r="U922" s="6"/>
      <c r="V922" s="6"/>
      <c r="W922" s="6"/>
    </row>
    <row r="923">
      <c r="T923" s="6"/>
      <c r="U923" s="6"/>
      <c r="V923" s="6"/>
      <c r="W923" s="6"/>
    </row>
    <row r="924">
      <c r="T924" s="6"/>
      <c r="U924" s="6"/>
      <c r="V924" s="6"/>
      <c r="W924" s="6"/>
    </row>
    <row r="925">
      <c r="T925" s="6"/>
      <c r="U925" s="6"/>
      <c r="V925" s="6"/>
      <c r="W925" s="6"/>
    </row>
    <row r="926">
      <c r="T926" s="6"/>
      <c r="U926" s="6"/>
      <c r="V926" s="6"/>
      <c r="W926" s="6"/>
    </row>
    <row r="927">
      <c r="T927" s="6"/>
      <c r="U927" s="6"/>
      <c r="V927" s="6"/>
      <c r="W927" s="6"/>
    </row>
    <row r="928">
      <c r="T928" s="6"/>
      <c r="U928" s="6"/>
      <c r="V928" s="6"/>
      <c r="W928" s="6"/>
    </row>
    <row r="929">
      <c r="T929" s="6"/>
      <c r="U929" s="6"/>
      <c r="V929" s="6"/>
      <c r="W929" s="6"/>
    </row>
    <row r="930">
      <c r="T930" s="6"/>
      <c r="U930" s="6"/>
      <c r="V930" s="6"/>
      <c r="W930" s="6"/>
    </row>
    <row r="931">
      <c r="T931" s="6"/>
      <c r="U931" s="6"/>
      <c r="V931" s="6"/>
      <c r="W931" s="6"/>
    </row>
    <row r="932">
      <c r="T932" s="6"/>
      <c r="U932" s="6"/>
      <c r="V932" s="6"/>
      <c r="W932" s="6"/>
    </row>
    <row r="933">
      <c r="T933" s="6"/>
      <c r="U933" s="6"/>
      <c r="V933" s="6"/>
      <c r="W933" s="6"/>
    </row>
    <row r="934">
      <c r="T934" s="6"/>
      <c r="U934" s="6"/>
      <c r="V934" s="6"/>
      <c r="W934" s="6"/>
    </row>
    <row r="935">
      <c r="T935" s="6"/>
      <c r="U935" s="6"/>
      <c r="V935" s="6"/>
      <c r="W935" s="6"/>
    </row>
    <row r="936">
      <c r="T936" s="6"/>
      <c r="U936" s="6"/>
      <c r="V936" s="6"/>
      <c r="W936" s="6"/>
    </row>
    <row r="937">
      <c r="T937" s="6"/>
      <c r="U937" s="6"/>
      <c r="V937" s="6"/>
      <c r="W937" s="6"/>
    </row>
    <row r="938">
      <c r="T938" s="6"/>
      <c r="U938" s="6"/>
      <c r="V938" s="6"/>
      <c r="W938" s="6"/>
    </row>
    <row r="939">
      <c r="T939" s="6"/>
      <c r="U939" s="6"/>
      <c r="V939" s="6"/>
      <c r="W939" s="6"/>
    </row>
    <row r="940">
      <c r="T940" s="6"/>
      <c r="U940" s="6"/>
      <c r="V940" s="6"/>
      <c r="W940" s="6"/>
    </row>
    <row r="941">
      <c r="T941" s="6"/>
      <c r="U941" s="6"/>
      <c r="V941" s="6"/>
      <c r="W941" s="6"/>
    </row>
    <row r="942">
      <c r="T942" s="6"/>
      <c r="U942" s="6"/>
      <c r="V942" s="6"/>
      <c r="W942" s="6"/>
    </row>
    <row r="943">
      <c r="T943" s="6"/>
      <c r="U943" s="6"/>
      <c r="V943" s="6"/>
      <c r="W943" s="6"/>
    </row>
    <row r="944">
      <c r="T944" s="6"/>
      <c r="U944" s="6"/>
      <c r="V944" s="6"/>
      <c r="W944" s="6"/>
    </row>
    <row r="945">
      <c r="T945" s="6"/>
      <c r="U945" s="6"/>
      <c r="V945" s="6"/>
      <c r="W945" s="6"/>
    </row>
    <row r="946">
      <c r="T946" s="6"/>
      <c r="U946" s="6"/>
      <c r="V946" s="6"/>
      <c r="W946" s="6"/>
    </row>
    <row r="947">
      <c r="T947" s="6"/>
      <c r="U947" s="6"/>
      <c r="V947" s="6"/>
      <c r="W947" s="6"/>
    </row>
    <row r="948">
      <c r="T948" s="6"/>
      <c r="U948" s="6"/>
      <c r="V948" s="6"/>
      <c r="W948" s="6"/>
    </row>
    <row r="949">
      <c r="T949" s="6"/>
      <c r="U949" s="6"/>
      <c r="V949" s="6"/>
      <c r="W949" s="6"/>
    </row>
    <row r="950">
      <c r="T950" s="6"/>
      <c r="U950" s="6"/>
      <c r="V950" s="6"/>
      <c r="W950" s="6"/>
    </row>
    <row r="951">
      <c r="T951" s="6"/>
      <c r="U951" s="6"/>
      <c r="V951" s="6"/>
      <c r="W951" s="6"/>
    </row>
    <row r="952">
      <c r="T952" s="6"/>
      <c r="U952" s="6"/>
      <c r="V952" s="6"/>
      <c r="W952" s="6"/>
    </row>
    <row r="953">
      <c r="T953" s="6"/>
      <c r="U953" s="6"/>
      <c r="V953" s="6"/>
      <c r="W953" s="6"/>
    </row>
    <row r="954">
      <c r="T954" s="6"/>
      <c r="U954" s="6"/>
      <c r="V954" s="6"/>
      <c r="W954" s="6"/>
    </row>
    <row r="955">
      <c r="T955" s="6"/>
      <c r="U955" s="6"/>
      <c r="V955" s="6"/>
      <c r="W955" s="6"/>
    </row>
    <row r="956">
      <c r="T956" s="6"/>
      <c r="U956" s="6"/>
      <c r="V956" s="6"/>
      <c r="W956" s="6"/>
    </row>
    <row r="957">
      <c r="T957" s="6"/>
      <c r="U957" s="6"/>
      <c r="V957" s="6"/>
      <c r="W957" s="6"/>
    </row>
    <row r="958">
      <c r="T958" s="6"/>
      <c r="U958" s="6"/>
      <c r="V958" s="6"/>
      <c r="W958" s="6"/>
    </row>
    <row r="959">
      <c r="T959" s="6"/>
      <c r="U959" s="6"/>
      <c r="V959" s="6"/>
      <c r="W959" s="6"/>
    </row>
    <row r="960">
      <c r="T960" s="6"/>
      <c r="U960" s="6"/>
      <c r="V960" s="6"/>
      <c r="W960" s="6"/>
    </row>
    <row r="961">
      <c r="T961" s="6"/>
      <c r="U961" s="6"/>
      <c r="V961" s="6"/>
      <c r="W961" s="6"/>
    </row>
    <row r="962">
      <c r="T962" s="6"/>
      <c r="U962" s="6"/>
      <c r="V962" s="6"/>
      <c r="W962" s="6"/>
    </row>
    <row r="963">
      <c r="T963" s="6"/>
      <c r="U963" s="6"/>
      <c r="V963" s="6"/>
      <c r="W963" s="6"/>
    </row>
    <row r="964">
      <c r="T964" s="6"/>
      <c r="U964" s="6"/>
      <c r="V964" s="6"/>
      <c r="W964" s="6"/>
    </row>
    <row r="965">
      <c r="T965" s="6"/>
      <c r="U965" s="6"/>
      <c r="V965" s="6"/>
      <c r="W965" s="6"/>
    </row>
    <row r="966">
      <c r="T966" s="6"/>
      <c r="U966" s="6"/>
      <c r="V966" s="6"/>
      <c r="W966" s="6"/>
    </row>
    <row r="967">
      <c r="T967" s="6"/>
      <c r="U967" s="6"/>
      <c r="V967" s="6"/>
      <c r="W967" s="6"/>
    </row>
    <row r="968">
      <c r="T968" s="6"/>
      <c r="U968" s="6"/>
      <c r="V968" s="6"/>
      <c r="W968" s="6"/>
    </row>
    <row r="969">
      <c r="T969" s="6"/>
      <c r="U969" s="6"/>
      <c r="V969" s="6"/>
      <c r="W969" s="6"/>
    </row>
    <row r="970">
      <c r="T970" s="6"/>
      <c r="U970" s="6"/>
      <c r="V970" s="6"/>
      <c r="W970" s="6"/>
    </row>
    <row r="971">
      <c r="T971" s="6"/>
      <c r="U971" s="6"/>
      <c r="V971" s="6"/>
      <c r="W971" s="6"/>
    </row>
    <row r="972">
      <c r="T972" s="6"/>
      <c r="U972" s="6"/>
      <c r="V972" s="6"/>
      <c r="W972" s="6"/>
    </row>
    <row r="973">
      <c r="T973" s="6"/>
      <c r="U973" s="6"/>
      <c r="V973" s="6"/>
      <c r="W973" s="6"/>
    </row>
    <row r="974">
      <c r="T974" s="6"/>
      <c r="U974" s="6"/>
      <c r="V974" s="6"/>
      <c r="W974" s="6"/>
    </row>
    <row r="975">
      <c r="T975" s="6"/>
      <c r="U975" s="6"/>
      <c r="V975" s="6"/>
      <c r="W975" s="6"/>
    </row>
    <row r="976">
      <c r="T976" s="6"/>
      <c r="U976" s="6"/>
      <c r="V976" s="6"/>
      <c r="W976" s="6"/>
    </row>
    <row r="977">
      <c r="T977" s="6"/>
      <c r="U977" s="6"/>
      <c r="V977" s="6"/>
      <c r="W977" s="6"/>
    </row>
    <row r="978">
      <c r="T978" s="6"/>
      <c r="U978" s="6"/>
      <c r="V978" s="6"/>
      <c r="W978" s="6"/>
    </row>
    <row r="979">
      <c r="T979" s="6"/>
      <c r="U979" s="6"/>
      <c r="V979" s="6"/>
      <c r="W979" s="6"/>
    </row>
    <row r="980">
      <c r="T980" s="6"/>
      <c r="U980" s="6"/>
      <c r="V980" s="6"/>
      <c r="W980" s="6"/>
    </row>
    <row r="981">
      <c r="T981" s="6"/>
      <c r="U981" s="6"/>
      <c r="V981" s="6"/>
      <c r="W981" s="6"/>
    </row>
    <row r="982">
      <c r="T982" s="6"/>
      <c r="U982" s="6"/>
      <c r="V982" s="6"/>
      <c r="W982" s="6"/>
    </row>
    <row r="983">
      <c r="T983" s="6"/>
      <c r="U983" s="6"/>
      <c r="V983" s="6"/>
      <c r="W983" s="6"/>
    </row>
    <row r="984">
      <c r="T984" s="6"/>
      <c r="U984" s="6"/>
      <c r="V984" s="6"/>
      <c r="W984" s="6"/>
    </row>
    <row r="985">
      <c r="T985" s="6"/>
      <c r="U985" s="6"/>
      <c r="V985" s="6"/>
      <c r="W985" s="6"/>
    </row>
    <row r="986">
      <c r="T986" s="6"/>
      <c r="U986" s="6"/>
      <c r="V986" s="6"/>
      <c r="W986" s="6"/>
    </row>
    <row r="987">
      <c r="T987" s="6"/>
      <c r="U987" s="6"/>
      <c r="V987" s="6"/>
      <c r="W987" s="6"/>
    </row>
    <row r="988">
      <c r="T988" s="6"/>
      <c r="U988" s="6"/>
      <c r="V988" s="6"/>
      <c r="W988" s="6"/>
    </row>
    <row r="989">
      <c r="T989" s="6"/>
      <c r="U989" s="6"/>
      <c r="V989" s="6"/>
      <c r="W989" s="6"/>
    </row>
    <row r="990">
      <c r="T990" s="6"/>
      <c r="U990" s="6"/>
      <c r="V990" s="6"/>
      <c r="W990" s="6"/>
    </row>
    <row r="991">
      <c r="T991" s="6"/>
      <c r="U991" s="6"/>
      <c r="V991" s="6"/>
      <c r="W991" s="6"/>
    </row>
    <row r="992">
      <c r="T992" s="6"/>
      <c r="U992" s="6"/>
      <c r="V992" s="6"/>
      <c r="W992" s="6"/>
    </row>
    <row r="993">
      <c r="T993" s="6"/>
      <c r="U993" s="6"/>
      <c r="V993" s="6"/>
      <c r="W993" s="6"/>
    </row>
    <row r="994">
      <c r="T994" s="6"/>
      <c r="U994" s="6"/>
      <c r="V994" s="6"/>
      <c r="W994" s="6"/>
    </row>
    <row r="995">
      <c r="T995" s="6"/>
      <c r="U995" s="6"/>
      <c r="V995" s="6"/>
      <c r="W995" s="6"/>
    </row>
    <row r="996">
      <c r="T996" s="6"/>
      <c r="U996" s="6"/>
      <c r="V996" s="6"/>
      <c r="W996" s="6"/>
    </row>
    <row r="997">
      <c r="T997" s="6"/>
      <c r="U997" s="6"/>
      <c r="V997" s="6"/>
      <c r="W997" s="6"/>
    </row>
    <row r="998">
      <c r="T998" s="6"/>
      <c r="U998" s="6"/>
      <c r="V998" s="6"/>
      <c r="W998" s="6"/>
    </row>
    <row r="999">
      <c r="T999" s="6"/>
      <c r="U999" s="6"/>
      <c r="V999" s="6"/>
      <c r="W999" s="6"/>
    </row>
    <row r="1000">
      <c r="T1000" s="6"/>
      <c r="U1000" s="6"/>
      <c r="V1000" s="6"/>
      <c r="W1000" s="6"/>
    </row>
  </sheetData>
  <hyperlinks>
    <hyperlink r:id="rId1" ref="Z5"/>
    <hyperlink r:id="rId2" ref="AA5"/>
    <hyperlink r:id="rId3" ref="Z6"/>
    <hyperlink r:id="rId4" ref="AA6"/>
    <hyperlink r:id="rId5" ref="Z7"/>
    <hyperlink r:id="rId6" ref="AA7"/>
    <hyperlink r:id="rId7" ref="Z8"/>
    <hyperlink r:id="rId8" ref="AA8"/>
    <hyperlink r:id="rId9" ref="Z9"/>
    <hyperlink r:id="rId10" ref="AA9"/>
    <hyperlink r:id="rId11" ref="Z10"/>
    <hyperlink r:id="rId12" ref="AA10"/>
    <hyperlink r:id="rId13" ref="Z11"/>
    <hyperlink r:id="rId14" ref="AA11"/>
    <hyperlink r:id="rId15" ref="Z12"/>
    <hyperlink r:id="rId16" ref="AA12"/>
    <hyperlink r:id="rId17" ref="Z13"/>
    <hyperlink r:id="rId18" ref="AA13"/>
    <hyperlink r:id="rId19" ref="Z14"/>
    <hyperlink r:id="rId20" ref="AA14"/>
    <hyperlink r:id="rId21" ref="Z15"/>
    <hyperlink r:id="rId22" ref="AA15"/>
    <hyperlink r:id="rId23" ref="Z16"/>
    <hyperlink r:id="rId24" ref="AA16"/>
    <hyperlink r:id="rId25" ref="Z17"/>
    <hyperlink r:id="rId26" ref="AA17"/>
    <hyperlink r:id="rId27" ref="Z18"/>
    <hyperlink r:id="rId28" ref="AA18"/>
    <hyperlink r:id="rId29" ref="Z19"/>
    <hyperlink r:id="rId30" ref="AA19"/>
    <hyperlink r:id="rId31" ref="Z26"/>
    <hyperlink r:id="rId32" ref="AA26"/>
    <hyperlink r:id="rId33" ref="Z27"/>
    <hyperlink r:id="rId34" ref="AA27"/>
    <hyperlink r:id="rId35" ref="Z28"/>
    <hyperlink r:id="rId36" ref="AA28"/>
    <hyperlink r:id="rId37" ref="Z29"/>
    <hyperlink r:id="rId38" ref="AA29"/>
    <hyperlink r:id="rId39" ref="Z30"/>
    <hyperlink r:id="rId40" ref="AA30"/>
    <hyperlink r:id="rId41" ref="Z31"/>
    <hyperlink r:id="rId42" ref="AA31"/>
    <hyperlink r:id="rId43" ref="Z32"/>
    <hyperlink r:id="rId44" ref="AA32"/>
    <hyperlink r:id="rId45" ref="Z33"/>
    <hyperlink r:id="rId46" ref="AA33"/>
    <hyperlink r:id="rId47" ref="Z34"/>
    <hyperlink r:id="rId48" ref="AA34"/>
    <hyperlink r:id="rId49" ref="Z35"/>
    <hyperlink r:id="rId50" ref="AA35"/>
    <hyperlink r:id="rId51" ref="Z36"/>
    <hyperlink r:id="rId52" ref="AA36"/>
    <hyperlink r:id="rId53" ref="Z37"/>
    <hyperlink r:id="rId54" ref="AA37"/>
    <hyperlink r:id="rId55" ref="Z38"/>
    <hyperlink r:id="rId56" ref="AA38"/>
    <hyperlink r:id="rId57" ref="Z39"/>
    <hyperlink r:id="rId58" ref="AA39"/>
    <hyperlink r:id="rId59" ref="Z40"/>
    <hyperlink r:id="rId60" ref="AA40"/>
    <hyperlink r:id="rId61" ref="Z41"/>
    <hyperlink r:id="rId62" ref="AA41"/>
    <hyperlink r:id="rId63" ref="Z42"/>
    <hyperlink r:id="rId64" ref="AA42"/>
    <hyperlink r:id="rId65" ref="Z43"/>
    <hyperlink r:id="rId66" ref="AA43"/>
    <hyperlink r:id="rId67" ref="Z44"/>
    <hyperlink r:id="rId68" ref="AA44"/>
    <hyperlink r:id="rId69" ref="Z45"/>
    <hyperlink r:id="rId70" ref="AA45"/>
    <hyperlink r:id="rId71" ref="Z46"/>
    <hyperlink r:id="rId72" ref="AA46"/>
    <hyperlink r:id="rId73" ref="Z47"/>
    <hyperlink r:id="rId74" ref="AA47"/>
    <hyperlink r:id="rId75" ref="Z48"/>
    <hyperlink r:id="rId76" ref="AA48"/>
    <hyperlink r:id="rId77" ref="Z49"/>
    <hyperlink r:id="rId78" ref="AA49"/>
    <hyperlink r:id="rId79" ref="Z50"/>
    <hyperlink r:id="rId80" ref="AA50"/>
    <hyperlink r:id="rId81" ref="Z51"/>
    <hyperlink r:id="rId82" ref="AA51"/>
    <hyperlink r:id="rId83" ref="Z52"/>
    <hyperlink r:id="rId84" ref="AA52"/>
    <hyperlink r:id="rId85" ref="Z53"/>
    <hyperlink r:id="rId86" ref="AA53"/>
    <hyperlink r:id="rId87" ref="Z54"/>
    <hyperlink r:id="rId88" ref="AA54"/>
    <hyperlink r:id="rId89" ref="Z55"/>
    <hyperlink r:id="rId90" ref="AA55"/>
    <hyperlink r:id="rId91" ref="Z56"/>
    <hyperlink r:id="rId92" ref="AA56"/>
    <hyperlink r:id="rId93" ref="Z57"/>
    <hyperlink r:id="rId94" ref="AA57"/>
    <hyperlink r:id="rId95" ref="Z58"/>
    <hyperlink r:id="rId96" ref="AA58"/>
    <hyperlink r:id="rId97" ref="Z59"/>
    <hyperlink r:id="rId98" ref="AA59"/>
    <hyperlink r:id="rId99" ref="Z60"/>
    <hyperlink r:id="rId100" ref="AA60"/>
    <hyperlink r:id="rId101" ref="Z61"/>
    <hyperlink r:id="rId102" ref="AA61"/>
    <hyperlink r:id="rId103" ref="Z63"/>
    <hyperlink r:id="rId104" ref="AA63"/>
    <hyperlink r:id="rId105" ref="Z64"/>
    <hyperlink r:id="rId106" ref="AA64"/>
    <hyperlink r:id="rId107" ref="Z65"/>
    <hyperlink r:id="rId108" ref="AA65"/>
    <hyperlink r:id="rId109" ref="Z66"/>
    <hyperlink r:id="rId110" ref="AA66"/>
    <hyperlink r:id="rId111" ref="Z67"/>
    <hyperlink r:id="rId112" ref="AA67"/>
    <hyperlink r:id="rId113" ref="Z68"/>
    <hyperlink r:id="rId114" ref="AA68"/>
    <hyperlink r:id="rId115" ref="Z69"/>
    <hyperlink r:id="rId116" ref="AA69"/>
    <hyperlink r:id="rId117" ref="Z70"/>
    <hyperlink r:id="rId118" ref="AA70"/>
    <hyperlink r:id="rId119" ref="Z71"/>
    <hyperlink r:id="rId120" ref="AA71"/>
    <hyperlink r:id="rId121" ref="Z76"/>
    <hyperlink r:id="rId122" ref="AA76"/>
    <hyperlink r:id="rId123" ref="Z78"/>
    <hyperlink r:id="rId124" ref="AA78"/>
    <hyperlink r:id="rId125" ref="Z79"/>
    <hyperlink r:id="rId126" ref="AA79"/>
    <hyperlink r:id="rId127" ref="Z82"/>
    <hyperlink r:id="rId128" ref="AA82"/>
    <hyperlink r:id="rId129" ref="Z83"/>
    <hyperlink r:id="rId130" ref="AA83"/>
    <hyperlink r:id="rId131" ref="Z84"/>
    <hyperlink r:id="rId132" ref="AA84"/>
    <hyperlink r:id="rId133" ref="Z88"/>
    <hyperlink r:id="rId134" ref="AA88"/>
    <hyperlink r:id="rId135" ref="Z94"/>
    <hyperlink r:id="rId136" ref="AA94"/>
    <hyperlink r:id="rId137" ref="Z100"/>
    <hyperlink r:id="rId138" ref="AA100"/>
    <hyperlink r:id="rId139" ref="Z101"/>
    <hyperlink r:id="rId140" ref="AA101"/>
    <hyperlink r:id="rId141" ref="Z104"/>
    <hyperlink r:id="rId142" ref="AA104"/>
    <hyperlink r:id="rId143" ref="Z108"/>
    <hyperlink r:id="rId144" ref="AA108"/>
    <hyperlink r:id="rId145" ref="Z109"/>
    <hyperlink r:id="rId146" ref="AA109"/>
    <hyperlink r:id="rId147" ref="Z110"/>
    <hyperlink r:id="rId148" ref="AA110"/>
    <hyperlink r:id="rId149" ref="Z111"/>
    <hyperlink r:id="rId150" ref="AA111"/>
    <hyperlink r:id="rId151" ref="Z112"/>
    <hyperlink r:id="rId152" ref="AA112"/>
    <hyperlink r:id="rId153" ref="Z113"/>
    <hyperlink r:id="rId154" ref="AA113"/>
    <hyperlink r:id="rId155" ref="Z114"/>
    <hyperlink r:id="rId156" ref="AA114"/>
    <hyperlink r:id="rId157" ref="Z118"/>
    <hyperlink r:id="rId158" ref="AA118"/>
    <hyperlink r:id="rId159" ref="Z119"/>
    <hyperlink r:id="rId160" ref="AA119"/>
    <hyperlink r:id="rId161" ref="Z122"/>
    <hyperlink r:id="rId162" ref="AA122"/>
    <hyperlink r:id="rId163" ref="Z123"/>
    <hyperlink r:id="rId164" ref="AA123"/>
    <hyperlink r:id="rId165" ref="Z124"/>
    <hyperlink r:id="rId166" ref="AA124"/>
    <hyperlink r:id="rId167" ref="Z125"/>
    <hyperlink r:id="rId168" ref="AA125"/>
    <hyperlink r:id="rId169" ref="Z131"/>
    <hyperlink r:id="rId170" ref="AA131"/>
    <hyperlink r:id="rId171" ref="Z135"/>
    <hyperlink r:id="rId172" ref="AA135"/>
    <hyperlink r:id="rId173" ref="Z136"/>
    <hyperlink r:id="rId174" ref="AA136"/>
    <hyperlink r:id="rId175" ref="Z137"/>
    <hyperlink r:id="rId176" ref="AA137"/>
    <hyperlink r:id="rId177" ref="Z139"/>
    <hyperlink r:id="rId178" ref="AA139"/>
    <hyperlink r:id="rId179" ref="Z144"/>
    <hyperlink r:id="rId180" ref="AA144"/>
    <hyperlink r:id="rId181" ref="Z145"/>
    <hyperlink r:id="rId182" ref="AA145"/>
    <hyperlink r:id="rId183" ref="Z151"/>
    <hyperlink r:id="rId184" ref="AA151"/>
    <hyperlink r:id="rId185" ref="Z155"/>
    <hyperlink r:id="rId186" ref="AA155"/>
    <hyperlink r:id="rId187" ref="Z162"/>
    <hyperlink r:id="rId188" ref="AA162"/>
    <hyperlink r:id="rId189" ref="Z163"/>
    <hyperlink r:id="rId190" ref="AA163"/>
    <hyperlink r:id="rId191" ref="Z164"/>
    <hyperlink r:id="rId192" ref="AA164"/>
    <hyperlink r:id="rId193" ref="Z165"/>
    <hyperlink r:id="rId194" ref="AA165"/>
    <hyperlink r:id="rId195" ref="Z166"/>
    <hyperlink r:id="rId196" ref="AA166"/>
    <hyperlink r:id="rId197" ref="Z167"/>
    <hyperlink r:id="rId198" ref="AA167"/>
    <hyperlink r:id="rId199" ref="Z168"/>
    <hyperlink r:id="rId200" ref="AA168"/>
    <hyperlink r:id="rId201" ref="Z169"/>
    <hyperlink r:id="rId202" ref="AA169"/>
    <hyperlink r:id="rId203" ref="Z170"/>
    <hyperlink r:id="rId204" ref="AA170"/>
    <hyperlink r:id="rId205" ref="Z171"/>
    <hyperlink r:id="rId206" ref="AA171"/>
    <hyperlink r:id="rId207" ref="Z172"/>
    <hyperlink r:id="rId208" ref="AA172"/>
    <hyperlink r:id="rId209" ref="Z173"/>
    <hyperlink r:id="rId210" ref="AA173"/>
    <hyperlink r:id="rId211" ref="Z174"/>
    <hyperlink r:id="rId212" ref="AA174"/>
    <hyperlink r:id="rId213" ref="Z175"/>
    <hyperlink r:id="rId214" ref="AA175"/>
    <hyperlink r:id="rId215" ref="Z176"/>
    <hyperlink r:id="rId216" ref="AA176"/>
    <hyperlink r:id="rId217" ref="Z177"/>
    <hyperlink r:id="rId218" ref="AA177"/>
    <hyperlink r:id="rId219" ref="Z178"/>
    <hyperlink r:id="rId220" ref="AA178"/>
    <hyperlink r:id="rId221" ref="Z179"/>
    <hyperlink r:id="rId222" ref="AA179"/>
    <hyperlink r:id="rId223" ref="Z180"/>
    <hyperlink r:id="rId224" ref="AA180"/>
    <hyperlink r:id="rId225" ref="Z181"/>
    <hyperlink r:id="rId226" ref="AA181"/>
    <hyperlink r:id="rId227" ref="Z182"/>
    <hyperlink r:id="rId228" ref="AA182"/>
    <hyperlink r:id="rId229" ref="Z183"/>
    <hyperlink r:id="rId230" ref="AA183"/>
    <hyperlink r:id="rId231" ref="Z184"/>
    <hyperlink r:id="rId232" ref="AA184"/>
    <hyperlink r:id="rId233" ref="Z185"/>
    <hyperlink r:id="rId234" ref="AA185"/>
    <hyperlink r:id="rId235" ref="Z186"/>
    <hyperlink r:id="rId236" ref="AA186"/>
    <hyperlink r:id="rId237" ref="Z187"/>
    <hyperlink r:id="rId238" ref="AA187"/>
    <hyperlink r:id="rId239" ref="Z188"/>
    <hyperlink r:id="rId240" ref="AA188"/>
    <hyperlink r:id="rId241" ref="Z189"/>
    <hyperlink r:id="rId242" ref="AA189"/>
    <hyperlink r:id="rId243" ref="Z190"/>
    <hyperlink r:id="rId244" ref="AA190"/>
    <hyperlink r:id="rId245" ref="Z191"/>
    <hyperlink r:id="rId246" ref="AA191"/>
    <hyperlink r:id="rId247" ref="Z192"/>
    <hyperlink r:id="rId248" ref="AA192"/>
    <hyperlink r:id="rId249" ref="Z193"/>
    <hyperlink r:id="rId250" ref="AA193"/>
    <hyperlink r:id="rId251" ref="Z194"/>
    <hyperlink r:id="rId252" ref="AA194"/>
    <hyperlink r:id="rId253" ref="Z195"/>
    <hyperlink r:id="rId254" ref="AA195"/>
    <hyperlink r:id="rId255" ref="Z196"/>
    <hyperlink r:id="rId256" ref="AA196"/>
    <hyperlink r:id="rId257" ref="Z197"/>
    <hyperlink r:id="rId258" ref="AA197"/>
    <hyperlink r:id="rId259" ref="Z198"/>
    <hyperlink r:id="rId260" ref="AA198"/>
    <hyperlink r:id="rId261" ref="Z199"/>
    <hyperlink r:id="rId262" ref="AA199"/>
    <hyperlink r:id="rId263" ref="Z200"/>
    <hyperlink r:id="rId264" ref="AA200"/>
    <hyperlink r:id="rId265" ref="Z201"/>
    <hyperlink r:id="rId266" ref="AA201"/>
    <hyperlink r:id="rId267" ref="Z202"/>
    <hyperlink r:id="rId268" ref="AA202"/>
    <hyperlink r:id="rId269" ref="Z203"/>
    <hyperlink r:id="rId270" ref="AA203"/>
    <hyperlink r:id="rId271" ref="Z204"/>
    <hyperlink r:id="rId272" ref="AA204"/>
    <hyperlink r:id="rId273" ref="Z205"/>
    <hyperlink r:id="rId274" ref="AA205"/>
    <hyperlink r:id="rId275" ref="Z206"/>
    <hyperlink r:id="rId276" ref="AA206"/>
    <hyperlink r:id="rId277" ref="Z207"/>
    <hyperlink r:id="rId278" ref="AA207"/>
    <hyperlink r:id="rId279" ref="Z208"/>
    <hyperlink r:id="rId280" ref="AA208"/>
    <hyperlink r:id="rId281" ref="Z209"/>
    <hyperlink r:id="rId282" ref="AA209"/>
    <hyperlink r:id="rId283" ref="Z210"/>
    <hyperlink r:id="rId284" ref="AA210"/>
    <hyperlink r:id="rId285" ref="Z211"/>
    <hyperlink r:id="rId286" ref="AA211"/>
    <hyperlink r:id="rId287" ref="Z212"/>
    <hyperlink r:id="rId288" ref="AA212"/>
    <hyperlink r:id="rId289" ref="Z213"/>
    <hyperlink r:id="rId290" ref="AA213"/>
    <hyperlink r:id="rId291" ref="Z214"/>
    <hyperlink r:id="rId292" ref="AA214"/>
    <hyperlink r:id="rId293" ref="Z215"/>
    <hyperlink r:id="rId294" ref="AA215"/>
    <hyperlink r:id="rId295" ref="Z216"/>
    <hyperlink r:id="rId296" ref="AA216"/>
    <hyperlink r:id="rId297" ref="Z217"/>
    <hyperlink r:id="rId298" ref="AA217"/>
    <hyperlink r:id="rId299" ref="Z218"/>
    <hyperlink r:id="rId300" ref="AA218"/>
    <hyperlink r:id="rId301" ref="Z219"/>
    <hyperlink r:id="rId302" ref="AA219"/>
    <hyperlink r:id="rId303" ref="Z220"/>
    <hyperlink r:id="rId304" ref="AA220"/>
    <hyperlink r:id="rId305" ref="Z221"/>
    <hyperlink r:id="rId306" ref="AA221"/>
    <hyperlink r:id="rId307" ref="Z222"/>
    <hyperlink r:id="rId308" ref="AA222"/>
    <hyperlink r:id="rId309" ref="Z223"/>
    <hyperlink r:id="rId310" ref="AA223"/>
    <hyperlink r:id="rId311" ref="Z224"/>
    <hyperlink r:id="rId312" ref="AA224"/>
    <hyperlink r:id="rId313" ref="Z225"/>
    <hyperlink r:id="rId314" ref="AA225"/>
    <hyperlink r:id="rId315" ref="Z226"/>
    <hyperlink r:id="rId316" ref="AA226"/>
    <hyperlink r:id="rId317" ref="Z227"/>
    <hyperlink r:id="rId318" ref="AA227"/>
    <hyperlink r:id="rId319" ref="Z228"/>
    <hyperlink r:id="rId320" ref="AA228"/>
    <hyperlink r:id="rId321" ref="Z229"/>
    <hyperlink r:id="rId322" ref="AA229"/>
    <hyperlink r:id="rId323" ref="Z230"/>
    <hyperlink r:id="rId324" ref="AA230"/>
    <hyperlink r:id="rId325" ref="Z231"/>
    <hyperlink r:id="rId326" ref="AA231"/>
    <hyperlink r:id="rId327" ref="Z232"/>
    <hyperlink r:id="rId328" ref="AA232"/>
    <hyperlink r:id="rId329" ref="Z233"/>
    <hyperlink r:id="rId330" ref="AA233"/>
    <hyperlink r:id="rId331" ref="Z234"/>
    <hyperlink r:id="rId332" ref="AA234"/>
    <hyperlink r:id="rId333" ref="Z235"/>
    <hyperlink r:id="rId334" ref="AA235"/>
    <hyperlink r:id="rId335" ref="Z236"/>
    <hyperlink r:id="rId336" ref="AA236"/>
    <hyperlink r:id="rId337" ref="Z237"/>
    <hyperlink r:id="rId338" ref="AA237"/>
    <hyperlink r:id="rId339" ref="Z238"/>
    <hyperlink r:id="rId340" ref="AA238"/>
    <hyperlink r:id="rId341" ref="Z239"/>
    <hyperlink r:id="rId342" ref="AA239"/>
    <hyperlink r:id="rId343" ref="Z240"/>
    <hyperlink r:id="rId344" ref="AA240"/>
    <hyperlink r:id="rId345" ref="Z241"/>
    <hyperlink r:id="rId346" ref="AA241"/>
    <hyperlink r:id="rId347" ref="Z242"/>
    <hyperlink r:id="rId348" ref="AA242"/>
    <hyperlink r:id="rId349" ref="Z243"/>
    <hyperlink r:id="rId350" ref="AA243"/>
    <hyperlink r:id="rId351" ref="Z244"/>
    <hyperlink r:id="rId352" ref="AA244"/>
    <hyperlink r:id="rId353" ref="Z245"/>
    <hyperlink r:id="rId354" ref="AA245"/>
    <hyperlink r:id="rId355" ref="Z246"/>
    <hyperlink r:id="rId356" ref="AA246"/>
    <hyperlink r:id="rId357" ref="Z247"/>
    <hyperlink r:id="rId358" ref="AA247"/>
    <hyperlink r:id="rId359" ref="Z248"/>
    <hyperlink r:id="rId360" ref="AA248"/>
    <hyperlink r:id="rId361" ref="Z249"/>
    <hyperlink r:id="rId362" ref="AA249"/>
    <hyperlink r:id="rId363" ref="Z250"/>
    <hyperlink r:id="rId364" ref="AA250"/>
    <hyperlink r:id="rId365" ref="Z251"/>
    <hyperlink r:id="rId366" ref="AA251"/>
    <hyperlink r:id="rId367" ref="Z252"/>
    <hyperlink r:id="rId368" ref="AA252"/>
    <hyperlink r:id="rId369" ref="Z253"/>
    <hyperlink r:id="rId370" ref="AA253"/>
    <hyperlink r:id="rId371" ref="Z254"/>
    <hyperlink r:id="rId372" ref="AA254"/>
    <hyperlink r:id="rId373" ref="Z255"/>
    <hyperlink r:id="rId374" ref="AA255"/>
    <hyperlink r:id="rId375" ref="Z256"/>
    <hyperlink r:id="rId376" ref="AA256"/>
    <hyperlink r:id="rId377" ref="Z257"/>
    <hyperlink r:id="rId378" ref="AA257"/>
    <hyperlink r:id="rId379" ref="Z258"/>
    <hyperlink r:id="rId380" ref="AA258"/>
    <hyperlink r:id="rId381" ref="Z259"/>
    <hyperlink r:id="rId382" ref="AA259"/>
    <hyperlink r:id="rId383" ref="Z260"/>
    <hyperlink r:id="rId384" ref="AA260"/>
    <hyperlink r:id="rId385" ref="Z261"/>
    <hyperlink r:id="rId386" ref="AA261"/>
    <hyperlink r:id="rId387" ref="Z262"/>
    <hyperlink r:id="rId388" ref="AA262"/>
    <hyperlink r:id="rId389" ref="Z263"/>
    <hyperlink r:id="rId390" ref="AA263"/>
    <hyperlink r:id="rId391" ref="Z264"/>
    <hyperlink r:id="rId392" ref="AA264"/>
    <hyperlink r:id="rId393" ref="Z265"/>
    <hyperlink r:id="rId394" ref="AA265"/>
    <hyperlink r:id="rId395" ref="Z266"/>
    <hyperlink r:id="rId396" ref="AA266"/>
    <hyperlink r:id="rId397" ref="AA267"/>
    <hyperlink r:id="rId398" ref="AA268"/>
    <hyperlink r:id="rId399" ref="AA269"/>
    <hyperlink r:id="rId400" ref="AA270"/>
    <hyperlink r:id="rId401" ref="AA271"/>
    <hyperlink r:id="rId402" ref="AA272"/>
    <hyperlink r:id="rId403" ref="AA273"/>
    <hyperlink r:id="rId404" ref="AA274"/>
    <hyperlink r:id="rId405" ref="AA275"/>
    <hyperlink r:id="rId406" ref="AA276"/>
    <hyperlink r:id="rId407" ref="AA277"/>
    <hyperlink r:id="rId408" ref="AA278"/>
    <hyperlink r:id="rId409" ref="AA279"/>
    <hyperlink r:id="rId410" ref="AA280"/>
    <hyperlink r:id="rId411" ref="AA281"/>
    <hyperlink r:id="rId412" ref="AA282"/>
    <hyperlink r:id="rId413" ref="AA283"/>
    <hyperlink r:id="rId414" ref="AA284"/>
    <hyperlink r:id="rId415" ref="AA285"/>
    <hyperlink r:id="rId416" ref="AA286"/>
    <hyperlink r:id="rId417" ref="AA287"/>
    <hyperlink r:id="rId418" ref="AA288"/>
    <hyperlink r:id="rId419" ref="AA289"/>
    <hyperlink r:id="rId420" ref="AA290"/>
    <hyperlink r:id="rId421" ref="AA291"/>
    <hyperlink r:id="rId422" ref="AA292"/>
    <hyperlink r:id="rId423" ref="AA293"/>
    <hyperlink r:id="rId424" ref="AA294"/>
    <hyperlink r:id="rId425" ref="Z295"/>
    <hyperlink r:id="rId426" ref="AA295"/>
    <hyperlink r:id="rId427" ref="Z296"/>
    <hyperlink r:id="rId428" ref="AA296"/>
    <hyperlink r:id="rId429" ref="Z297"/>
    <hyperlink r:id="rId430" ref="AA297"/>
    <hyperlink r:id="rId431" ref="AA317"/>
    <hyperlink r:id="rId432" ref="AA318"/>
    <hyperlink r:id="rId433" ref="AA319"/>
    <hyperlink r:id="rId434" ref="AA320"/>
    <hyperlink r:id="rId435" ref="AA321"/>
    <hyperlink r:id="rId436" ref="AA329"/>
    <hyperlink r:id="rId437" ref="Z334"/>
    <hyperlink r:id="rId438" ref="AA334"/>
    <hyperlink r:id="rId439" ref="Z335"/>
    <hyperlink r:id="rId440" ref="AA335"/>
    <hyperlink r:id="rId441" ref="Z336"/>
    <hyperlink r:id="rId442" ref="AA336"/>
    <hyperlink r:id="rId443" ref="Z337"/>
    <hyperlink r:id="rId444" ref="AA337"/>
    <hyperlink r:id="rId445" ref="Z338"/>
    <hyperlink r:id="rId446" ref="AA338"/>
    <hyperlink r:id="rId447" ref="Z339"/>
    <hyperlink r:id="rId448" ref="AA339"/>
    <hyperlink r:id="rId449" ref="Z340"/>
    <hyperlink r:id="rId450" ref="AA340"/>
    <hyperlink r:id="rId451" ref="Z341"/>
    <hyperlink r:id="rId452" ref="AA341"/>
    <hyperlink r:id="rId453" ref="Z342"/>
    <hyperlink r:id="rId454" ref="AA342"/>
  </hyperlinks>
  <drawing r:id="rId455"/>
</worksheet>
</file>